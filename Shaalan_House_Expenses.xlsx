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Shaalan\"/>
    </mc:Choice>
  </mc:AlternateContent>
  <xr:revisionPtr revIDLastSave="0" documentId="13_ncr:1_{35EBE64C-0FCE-4E08-B84B-0344CDAB5C97}" xr6:coauthVersionLast="47" xr6:coauthVersionMax="47" xr10:uidLastSave="{00000000-0000-0000-0000-000000000000}"/>
  <bookViews>
    <workbookView xWindow="-132" yWindow="-132" windowWidth="23304" windowHeight="12504" tabRatio="713" xr2:uid="{00000000-000D-0000-FFFF-FFFF00000000}"/>
  </bookViews>
  <sheets>
    <sheet name="المصروفات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7" l="1"/>
  <c r="H36" i="7"/>
  <c r="H35" i="7"/>
</calcChain>
</file>

<file path=xl/sharedStrings.xml><?xml version="1.0" encoding="utf-8"?>
<sst xmlns="http://schemas.openxmlformats.org/spreadsheetml/2006/main" count="101" uniqueCount="58">
  <si>
    <t>مصروفات البيت</t>
  </si>
  <si>
    <t>التاريخ</t>
  </si>
  <si>
    <t>الوصف</t>
  </si>
  <si>
    <t>مقدم الخدمة</t>
  </si>
  <si>
    <t>حالة
الدفع</t>
  </si>
  <si>
    <t>الفئة</t>
  </si>
  <si>
    <t>الفئة الفرعية</t>
  </si>
  <si>
    <t>ملاحظات</t>
  </si>
  <si>
    <t>مرحلة
المشروع</t>
  </si>
  <si>
    <t>المبلغ</t>
  </si>
  <si>
    <t>طريقة الدفع</t>
  </si>
  <si>
    <t>المرحلة</t>
  </si>
  <si>
    <t>معلومات إضافية</t>
  </si>
  <si>
    <t>تأكيد كل
المعلومات؟</t>
  </si>
  <si>
    <t>سعر الأرض</t>
  </si>
  <si>
    <t xml:space="preserve">مبلغ موجود + قرض من الوالد </t>
  </si>
  <si>
    <t>مدفوع</t>
  </si>
  <si>
    <t>أرض</t>
  </si>
  <si>
    <t>شراء أرض</t>
  </si>
  <si>
    <t>قبل البناء</t>
  </si>
  <si>
    <t>شيك</t>
  </si>
  <si>
    <t>قرض من الوالد بقيمة  722,000 ريال</t>
  </si>
  <si>
    <t>تصميم الخارطة - الدفعة الأولى</t>
  </si>
  <si>
    <t>مكتب فرج الله الراشد  الهندسي- الدمام</t>
  </si>
  <si>
    <t>تصميم وهندسة</t>
  </si>
  <si>
    <t>تصميم معماري</t>
  </si>
  <si>
    <t>تحويل بنكي - ساب</t>
  </si>
  <si>
    <t>التحديد المساحي</t>
  </si>
  <si>
    <t>مكتب رؤية المستقبل</t>
  </si>
  <si>
    <t>رخص</t>
  </si>
  <si>
    <t>فحص ومسح ورخص</t>
  </si>
  <si>
    <t>فحص التربة</t>
  </si>
  <si>
    <t>الكعبي لفحص التربة</t>
  </si>
  <si>
    <t>فحص تربة</t>
  </si>
  <si>
    <t>تصميم الخارطة - الدفعة الثانية</t>
  </si>
  <si>
    <t>مكتب فرج الله الراشد الهندسي - الدمام</t>
  </si>
  <si>
    <t>تحديث إحداثيات الأرض في الموقع الجغرافي</t>
  </si>
  <si>
    <t>إصدار التقرير المساحي</t>
  </si>
  <si>
    <t>بلدي- عن طريق مكتب فرج الله الراشد الهندسي- الدمام</t>
  </si>
  <si>
    <t>تقرير مساحي من بلدي</t>
  </si>
  <si>
    <t>SAR 240.48</t>
  </si>
  <si>
    <t>نظام سداد</t>
  </si>
  <si>
    <t>الدفعة الأولى لشركة التعاونية للتأمين - تأمين ضد العيوب الخفية</t>
  </si>
  <si>
    <t>التعاونية للتأمين</t>
  </si>
  <si>
    <t>الدفعة الأولى تليها دفعة ثانية حين الانتهاء من البناء</t>
  </si>
  <si>
    <t>شراء عبر موقع التأمين- البنك العربي</t>
  </si>
  <si>
    <t>قيمة اتعاب مكتب المربع لعمل التأمين</t>
  </si>
  <si>
    <t>مكتب المربع الهندسي</t>
  </si>
  <si>
    <t>تحويل بنكي-  البنك العربي</t>
  </si>
  <si>
    <t>قيمة رخصة البناء</t>
  </si>
  <si>
    <t>وزارة البلديات والاسكان</t>
  </si>
  <si>
    <t>الدفعة الأولى للمقاول بن مقطوف</t>
  </si>
  <si>
    <t>مؤسسة بن مقطوف للمقاولات</t>
  </si>
  <si>
    <t>إسناد الأرض والتربة قبل الحفر</t>
  </si>
  <si>
    <t xml:space="preserve">شركة العبدالرضا </t>
  </si>
  <si>
    <t>المدفوع حتى الآن – بدون الأرض</t>
  </si>
  <si>
    <t>الالتزامات المتبقية</t>
  </si>
  <si>
    <t>المدفوع إلى الآن مع سعر الأرض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</si>
</sst>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[$SAR]\ #,##0.00"/>
  </numFmts>
  <fonts count="7">
    <font>
      <sz val="11"/>
      <color theme="1"/>
      <name val="Aptos Narrow"/>
      <charset val="134"/>
      <scheme val="minor"/>
    </font>
    <font>
      <sz val="14"/>
      <color theme="1"/>
      <name val="Arial"/>
      <charset val="134"/>
    </font>
    <font>
      <b/>
      <sz val="30"/>
      <color theme="1"/>
      <name val="Arial"/>
      <charset val="134"/>
    </font>
    <font>
      <b/>
      <sz val="20"/>
      <color theme="1"/>
      <name val="Arial"/>
      <charset val="134"/>
    </font>
    <font>
      <b/>
      <sz val="7"/>
      <color rgb="FF111827"/>
      <name val="Consolas"/>
      <charset val="134"/>
    </font>
    <font>
      <b/>
      <sz val="14"/>
      <color rgb="FF374151"/>
      <name val="Arial"/>
      <charset val="134"/>
    </font>
    <font>
      <sz val="14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/>
    <xf numFmtId="0" fontId="1" fillId="0" borderId="0" xfId="0" applyFont="1" applyAlignment="1">
      <alignment horizontal="right"/>
    </xf>
    <xf numFmtId="0" fontId="1" fillId="0" borderId="0" xfId="0" applyFont="1"/>
    <xf numFmtId="165" fontId="1" fillId="0" borderId="0" xfId="0" applyNumberFormat="1" applyFont="1"/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65" fontId="3" fillId="2" borderId="2" xfId="0" applyNumberFormat="1" applyFont="1" applyFill="1" applyBorder="1" applyAlignment="1">
      <alignment horizontal="center" vertical="center"/>
    </xf>
    <xf numFmtId="4" fontId="4" fillId="0" borderId="0" xfId="0" applyNumberFormat="1" applyFont="1"/>
    <xf numFmtId="0" fontId="3" fillId="3" borderId="2" xfId="0" applyFont="1" applyFill="1" applyBorder="1" applyAlignment="1">
      <alignment horizontal="center" vertical="center"/>
    </xf>
    <xf numFmtId="165" fontId="3" fillId="3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165" fontId="3" fillId="4" borderId="2" xfId="0" applyNumberFormat="1" applyFont="1" applyFill="1" applyBorder="1" applyAlignment="1">
      <alignment horizontal="center" vertical="center"/>
    </xf>
    <xf numFmtId="4" fontId="1" fillId="0" borderId="0" xfId="0" applyNumberFormat="1" applyFont="1"/>
    <xf numFmtId="0" fontId="5" fillId="0" borderId="0" xfId="0" applyFont="1" applyAlignment="1">
      <alignment vertical="center" wrapText="1"/>
    </xf>
    <xf numFmtId="164" fontId="2" fillId="0" borderId="0" xfId="0" applyNumberFormat="1" applyFont="1" applyAlignment="1">
      <alignment horizontal="center" vertical="distributed"/>
    </xf>
    <xf numFmtId="16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right"/>
    </xf>
    <xf numFmtId="0" fontId="1" fillId="0" borderId="1" xfId="0" applyFont="1" applyFill="1" applyBorder="1" applyAlignment="1">
      <alignment horizontal="center" vertical="center"/>
    </xf>
    <xf numFmtId="165" fontId="1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/>
    <xf numFmtId="164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right"/>
    </xf>
    <xf numFmtId="0" fontId="6" fillId="0" borderId="1" xfId="0" applyFont="1" applyFill="1" applyBorder="1" applyAlignment="1">
      <alignment horizontal="center" vertical="center"/>
    </xf>
    <xf numFmtId="165" fontId="6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4">
    <dxf>
      <fill>
        <patternFill patternType="none">
          <fgColor indexed="64"/>
          <bgColor auto="1"/>
        </patternFill>
      </fill>
    </dxf>
    <dxf>
      <font>
        <strike val="0"/>
        <u val="none"/>
        <sz val="14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4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4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4"/>
        <color theme="1"/>
        <name val="Arial"/>
        <family val="2"/>
        <scheme val="none"/>
      </font>
      <numFmt numFmtId="165" formatCode="[$SAR]\ #,##0.00"/>
      <fill>
        <patternFill patternType="none"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4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4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4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4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4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4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4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4"/>
        <color theme="1"/>
        <name val="Arial"/>
        <family val="2"/>
        <scheme val="none"/>
      </font>
      <numFmt numFmtId="164" formatCode="[$-409]mmmm\ d\,\ yyyy;@"/>
      <fill>
        <patternFill patternType="none"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4:M31" totalsRowShown="0" dataDxfId="0">
  <autoFilter ref="A4:M31" xr:uid="{00000000-0009-0000-0100-000001000000}"/>
  <tableColumns count="13">
    <tableColumn id="1" xr3:uid="{00000000-0010-0000-0000-000001000000}" name="التاريخ" dataDxfId="13"/>
    <tableColumn id="2" xr3:uid="{00000000-0010-0000-0000-000002000000}" name="الوصف" dataDxfId="12"/>
    <tableColumn id="3" xr3:uid="{00000000-0010-0000-0000-000003000000}" name="مقدم الخدمة" dataDxfId="11"/>
    <tableColumn id="4" xr3:uid="{00000000-0010-0000-0000-000004000000}" name="حالة_x000a_الدفع" dataDxfId="10"/>
    <tableColumn id="5" xr3:uid="{00000000-0010-0000-0000-000005000000}" name="الفئة" dataDxfId="9"/>
    <tableColumn id="6" xr3:uid="{00000000-0010-0000-0000-000006000000}" name="الفئة الفرعية" dataDxfId="8"/>
    <tableColumn id="15" xr3:uid="{00000000-0010-0000-0000-00000F000000}" name="ملاحظات" dataDxfId="7"/>
    <tableColumn id="7" xr3:uid="{00000000-0010-0000-0000-000007000000}" name="مرحلة_x000a_المشروع" dataDxfId="6"/>
    <tableColumn id="8" xr3:uid="{00000000-0010-0000-0000-000008000000}" name="المبلغ" dataDxfId="5"/>
    <tableColumn id="9" xr3:uid="{00000000-0010-0000-0000-000009000000}" name="طريقة الدفع" dataDxfId="4"/>
    <tableColumn id="12" xr3:uid="{00000000-0010-0000-0000-00000C000000}" name="المرحلة" dataDxfId="3"/>
    <tableColumn id="10" xr3:uid="{00000000-0010-0000-0000-00000A000000}" name="معلومات إضافية" dataDxfId="2"/>
    <tableColumn id="11" xr3:uid="{00000000-0010-0000-0000-00000B000000}" name="تأكيد كل_x000a_المعلومات؟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M40"/>
  <sheetViews>
    <sheetView rightToLeft="1" tabSelected="1" topLeftCell="A13" zoomScale="70" zoomScaleNormal="70" workbookViewId="0">
      <selection activeCell="E35" sqref="E35"/>
    </sheetView>
  </sheetViews>
  <sheetFormatPr defaultColWidth="8.77734375" defaultRowHeight="17.399999999999999"/>
  <cols>
    <col min="1" max="1" width="25.44140625" style="2" bestFit="1" customWidth="1"/>
    <col min="2" max="2" width="57" style="3" bestFit="1" customWidth="1"/>
    <col min="3" max="3" width="49.33203125" style="4" bestFit="1" customWidth="1"/>
    <col min="4" max="4" width="11.88671875" style="4" bestFit="1" customWidth="1"/>
    <col min="5" max="6" width="20.109375" style="4" bestFit="1" customWidth="1"/>
    <col min="7" max="7" width="45.88671875" style="4" bestFit="1" customWidth="1"/>
    <col min="8" max="8" width="33.109375" style="4" bestFit="1" customWidth="1"/>
    <col min="9" max="9" width="23.21875" style="5" bestFit="1" customWidth="1"/>
    <col min="10" max="10" width="33.77734375" style="4" bestFit="1" customWidth="1"/>
    <col min="11" max="11" width="14.33203125" style="4" bestFit="1" customWidth="1"/>
    <col min="12" max="12" width="35" style="4" bestFit="1" customWidth="1"/>
    <col min="13" max="13" width="17.109375" style="4" bestFit="1" customWidth="1"/>
    <col min="14" max="14" width="8.77734375" style="4"/>
    <col min="15" max="15" width="6.88671875" style="4" customWidth="1"/>
    <col min="16" max="16384" width="8.77734375" style="4"/>
  </cols>
  <sheetData>
    <row r="2" spans="1:13" ht="37.799999999999997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4" spans="1:13" s="1" customFormat="1" ht="34.799999999999997">
      <c r="A4" s="6" t="s">
        <v>1</v>
      </c>
      <c r="B4" s="3" t="s">
        <v>2</v>
      </c>
      <c r="C4" s="1" t="s">
        <v>3</v>
      </c>
      <c r="D4" s="7" t="s">
        <v>4</v>
      </c>
      <c r="E4" s="1" t="s">
        <v>5</v>
      </c>
      <c r="F4" s="1" t="s">
        <v>6</v>
      </c>
      <c r="G4" s="1" t="s">
        <v>7</v>
      </c>
      <c r="H4" s="7" t="s">
        <v>8</v>
      </c>
      <c r="I4" s="8" t="s">
        <v>9</v>
      </c>
      <c r="J4" s="1" t="s">
        <v>10</v>
      </c>
      <c r="K4" s="1" t="s">
        <v>11</v>
      </c>
      <c r="L4" s="1" t="s">
        <v>12</v>
      </c>
      <c r="M4" s="7" t="s">
        <v>13</v>
      </c>
    </row>
    <row r="5" spans="1:13" s="24" customFormat="1">
      <c r="A5" s="20">
        <v>43831</v>
      </c>
      <c r="B5" s="21" t="s">
        <v>14</v>
      </c>
      <c r="C5" s="22" t="s">
        <v>15</v>
      </c>
      <c r="D5" s="22" t="s">
        <v>16</v>
      </c>
      <c r="E5" s="22" t="s">
        <v>17</v>
      </c>
      <c r="F5" s="22" t="s">
        <v>18</v>
      </c>
      <c r="G5" s="22"/>
      <c r="H5" s="22" t="s">
        <v>19</v>
      </c>
      <c r="I5" s="23">
        <v>1100000</v>
      </c>
      <c r="J5" s="22" t="s">
        <v>20</v>
      </c>
      <c r="K5" s="22"/>
      <c r="L5" s="22" t="s">
        <v>21</v>
      </c>
      <c r="M5" s="22"/>
    </row>
    <row r="6" spans="1:13" s="24" customFormat="1">
      <c r="A6" s="20">
        <v>44986</v>
      </c>
      <c r="B6" s="21" t="s">
        <v>22</v>
      </c>
      <c r="C6" s="22" t="s">
        <v>23</v>
      </c>
      <c r="D6" s="22" t="s">
        <v>16</v>
      </c>
      <c r="E6" s="22" t="s">
        <v>24</v>
      </c>
      <c r="F6" s="22" t="s">
        <v>25</v>
      </c>
      <c r="G6" s="22"/>
      <c r="H6" s="22" t="s">
        <v>19</v>
      </c>
      <c r="I6" s="23">
        <v>15600</v>
      </c>
      <c r="J6" s="22" t="s">
        <v>26</v>
      </c>
      <c r="K6" s="22"/>
      <c r="L6" s="22"/>
      <c r="M6" s="22"/>
    </row>
    <row r="7" spans="1:13" s="24" customFormat="1">
      <c r="A7" s="20">
        <v>45120</v>
      </c>
      <c r="B7" s="21" t="s">
        <v>27</v>
      </c>
      <c r="C7" s="22" t="s">
        <v>28</v>
      </c>
      <c r="D7" s="22" t="s">
        <v>16</v>
      </c>
      <c r="E7" s="22" t="s">
        <v>29</v>
      </c>
      <c r="F7" s="22" t="s">
        <v>30</v>
      </c>
      <c r="G7" s="22"/>
      <c r="H7" s="22" t="s">
        <v>19</v>
      </c>
      <c r="I7" s="23">
        <v>575</v>
      </c>
      <c r="J7" s="22" t="s">
        <v>26</v>
      </c>
      <c r="K7" s="22"/>
      <c r="L7" s="22"/>
      <c r="M7" s="22"/>
    </row>
    <row r="8" spans="1:13" s="24" customFormat="1">
      <c r="A8" s="20">
        <v>45120</v>
      </c>
      <c r="B8" s="21" t="s">
        <v>31</v>
      </c>
      <c r="C8" s="22" t="s">
        <v>32</v>
      </c>
      <c r="D8" s="22" t="s">
        <v>16</v>
      </c>
      <c r="E8" s="22" t="s">
        <v>30</v>
      </c>
      <c r="F8" s="22" t="s">
        <v>30</v>
      </c>
      <c r="G8" s="22" t="s">
        <v>33</v>
      </c>
      <c r="H8" s="22" t="s">
        <v>19</v>
      </c>
      <c r="I8" s="23">
        <v>7000</v>
      </c>
      <c r="J8" s="22" t="s">
        <v>26</v>
      </c>
      <c r="K8" s="22"/>
      <c r="L8" s="22"/>
      <c r="M8" s="22"/>
    </row>
    <row r="9" spans="1:13" s="24" customFormat="1">
      <c r="A9" s="20">
        <v>45870</v>
      </c>
      <c r="B9" s="21" t="s">
        <v>34</v>
      </c>
      <c r="C9" s="22" t="s">
        <v>35</v>
      </c>
      <c r="D9" s="22" t="s">
        <v>16</v>
      </c>
      <c r="E9" s="22" t="s">
        <v>24</v>
      </c>
      <c r="F9" s="22" t="s">
        <v>25</v>
      </c>
      <c r="G9" s="22"/>
      <c r="H9" s="22" t="s">
        <v>19</v>
      </c>
      <c r="I9" s="23">
        <v>15600</v>
      </c>
      <c r="J9" s="22" t="s">
        <v>26</v>
      </c>
      <c r="K9" s="22"/>
      <c r="L9" s="22"/>
      <c r="M9" s="22"/>
    </row>
    <row r="10" spans="1:13" s="24" customFormat="1">
      <c r="A10" s="20">
        <v>45962</v>
      </c>
      <c r="B10" s="21" t="s">
        <v>36</v>
      </c>
      <c r="C10" s="22" t="s">
        <v>28</v>
      </c>
      <c r="D10" s="22" t="s">
        <v>16</v>
      </c>
      <c r="E10" s="22" t="s">
        <v>30</v>
      </c>
      <c r="F10" s="22" t="s">
        <v>30</v>
      </c>
      <c r="G10" s="22"/>
      <c r="H10" s="22" t="s">
        <v>19</v>
      </c>
      <c r="I10" s="23">
        <v>200</v>
      </c>
      <c r="J10" s="22" t="s">
        <v>26</v>
      </c>
      <c r="K10" s="22"/>
      <c r="L10" s="22"/>
      <c r="M10" s="22"/>
    </row>
    <row r="11" spans="1:13" s="24" customFormat="1">
      <c r="A11" s="20">
        <v>45962</v>
      </c>
      <c r="B11" s="21" t="s">
        <v>37</v>
      </c>
      <c r="C11" s="22" t="s">
        <v>38</v>
      </c>
      <c r="D11" s="22" t="s">
        <v>16</v>
      </c>
      <c r="E11" s="22" t="s">
        <v>29</v>
      </c>
      <c r="F11" s="22" t="s">
        <v>30</v>
      </c>
      <c r="G11" s="22" t="s">
        <v>39</v>
      </c>
      <c r="H11" s="22" t="s">
        <v>19</v>
      </c>
      <c r="I11" s="23" t="s">
        <v>40</v>
      </c>
      <c r="J11" s="22" t="s">
        <v>41</v>
      </c>
      <c r="K11" s="22"/>
      <c r="L11" s="22"/>
      <c r="M11" s="22"/>
    </row>
    <row r="12" spans="1:13" s="24" customFormat="1">
      <c r="A12" s="20">
        <v>46261</v>
      </c>
      <c r="B12" s="21" t="s">
        <v>42</v>
      </c>
      <c r="C12" s="22" t="s">
        <v>43</v>
      </c>
      <c r="D12" s="22" t="s">
        <v>16</v>
      </c>
      <c r="E12" s="22" t="s">
        <v>29</v>
      </c>
      <c r="F12" s="22" t="s">
        <v>30</v>
      </c>
      <c r="G12" s="22" t="s">
        <v>44</v>
      </c>
      <c r="H12" s="22" t="s">
        <v>19</v>
      </c>
      <c r="I12" s="23">
        <v>13022</v>
      </c>
      <c r="J12" s="22" t="s">
        <v>45</v>
      </c>
      <c r="K12" s="22"/>
      <c r="L12" s="22"/>
      <c r="M12" s="22"/>
    </row>
    <row r="13" spans="1:13" s="24" customFormat="1">
      <c r="A13" s="20">
        <v>46261</v>
      </c>
      <c r="B13" s="21" t="s">
        <v>46</v>
      </c>
      <c r="C13" s="22" t="s">
        <v>47</v>
      </c>
      <c r="D13" s="22" t="s">
        <v>16</v>
      </c>
      <c r="E13" s="22" t="s">
        <v>29</v>
      </c>
      <c r="F13" s="22" t="s">
        <v>30</v>
      </c>
      <c r="G13" s="22"/>
      <c r="H13" s="22" t="s">
        <v>19</v>
      </c>
      <c r="I13" s="23">
        <v>500</v>
      </c>
      <c r="J13" s="22" t="s">
        <v>48</v>
      </c>
      <c r="K13" s="22"/>
      <c r="L13" s="22"/>
      <c r="M13" s="22"/>
    </row>
    <row r="14" spans="1:13" s="24" customFormat="1">
      <c r="A14" s="20">
        <v>46261</v>
      </c>
      <c r="B14" s="21" t="s">
        <v>49</v>
      </c>
      <c r="C14" s="22" t="s">
        <v>50</v>
      </c>
      <c r="D14" s="22" t="s">
        <v>16</v>
      </c>
      <c r="E14" s="22" t="s">
        <v>29</v>
      </c>
      <c r="F14" s="22" t="s">
        <v>30</v>
      </c>
      <c r="G14" s="22"/>
      <c r="H14" s="22" t="s">
        <v>19</v>
      </c>
      <c r="I14" s="23">
        <v>1319.6</v>
      </c>
      <c r="J14" s="22"/>
      <c r="K14" s="22"/>
      <c r="L14" s="22"/>
      <c r="M14" s="22"/>
    </row>
    <row r="15" spans="1:13" s="24" customFormat="1">
      <c r="A15" s="20">
        <v>46262</v>
      </c>
      <c r="B15" s="21" t="s">
        <v>51</v>
      </c>
      <c r="C15" s="22" t="s">
        <v>52</v>
      </c>
      <c r="D15" s="22" t="s">
        <v>16</v>
      </c>
      <c r="E15" s="22" t="s">
        <v>24</v>
      </c>
      <c r="F15" s="22"/>
      <c r="G15" s="22"/>
      <c r="H15" s="22" t="s">
        <v>19</v>
      </c>
      <c r="I15" s="23">
        <v>10000</v>
      </c>
      <c r="J15" s="22"/>
      <c r="K15" s="22"/>
      <c r="L15" s="22"/>
      <c r="M15" s="22"/>
    </row>
    <row r="16" spans="1:13" s="24" customFormat="1">
      <c r="A16" s="20">
        <v>46289</v>
      </c>
      <c r="B16" s="21" t="s">
        <v>53</v>
      </c>
      <c r="C16" s="22" t="s">
        <v>54</v>
      </c>
      <c r="D16" s="22" t="s">
        <v>16</v>
      </c>
      <c r="E16" s="22" t="s">
        <v>30</v>
      </c>
      <c r="F16" s="22"/>
      <c r="G16" s="22"/>
      <c r="H16" s="22" t="s">
        <v>19</v>
      </c>
      <c r="I16" s="23">
        <v>9500</v>
      </c>
      <c r="J16" s="22"/>
      <c r="K16" s="22"/>
      <c r="L16" s="22"/>
      <c r="M16" s="22"/>
    </row>
    <row r="17" spans="1:13" s="24" customFormat="1">
      <c r="A17" s="20"/>
      <c r="B17" s="21"/>
      <c r="C17" s="22"/>
      <c r="D17" s="22"/>
      <c r="E17" s="22"/>
      <c r="F17" s="22"/>
      <c r="G17" s="22"/>
      <c r="H17" s="22"/>
      <c r="I17" s="23"/>
      <c r="J17" s="22"/>
      <c r="K17" s="22"/>
      <c r="L17" s="22"/>
      <c r="M17" s="22"/>
    </row>
    <row r="18" spans="1:13" s="24" customFormat="1">
      <c r="A18" s="20"/>
      <c r="B18" s="21"/>
      <c r="C18" s="22"/>
      <c r="D18" s="22"/>
      <c r="E18" s="22"/>
      <c r="F18" s="22"/>
      <c r="G18" s="22"/>
      <c r="H18" s="22"/>
      <c r="I18" s="23"/>
      <c r="J18" s="22"/>
      <c r="K18" s="22"/>
      <c r="L18" s="22"/>
      <c r="M18" s="22"/>
    </row>
    <row r="19" spans="1:13" s="24" customFormat="1">
      <c r="A19" s="20"/>
      <c r="B19" s="21"/>
      <c r="C19" s="22"/>
      <c r="D19" s="22"/>
      <c r="E19" s="22"/>
      <c r="F19" s="22"/>
      <c r="G19" s="22"/>
      <c r="H19" s="22"/>
      <c r="I19" s="23"/>
      <c r="J19" s="22"/>
      <c r="K19" s="22"/>
      <c r="L19" s="22"/>
      <c r="M19" s="22"/>
    </row>
    <row r="20" spans="1:13" s="24" customFormat="1">
      <c r="A20" s="25"/>
      <c r="B20" s="26"/>
      <c r="C20" s="27"/>
      <c r="D20" s="27"/>
      <c r="E20" s="27"/>
      <c r="F20" s="27"/>
      <c r="G20" s="27"/>
      <c r="H20" s="27"/>
      <c r="I20" s="28"/>
      <c r="J20" s="27"/>
      <c r="K20" s="27"/>
      <c r="L20" s="27"/>
      <c r="M20" s="27"/>
    </row>
    <row r="21" spans="1:13" s="24" customFormat="1">
      <c r="A21" s="25"/>
      <c r="B21" s="26"/>
      <c r="C21" s="27"/>
      <c r="D21" s="27"/>
      <c r="E21" s="27"/>
      <c r="F21" s="27"/>
      <c r="G21" s="27"/>
      <c r="H21" s="27"/>
      <c r="I21" s="28"/>
      <c r="J21" s="27"/>
      <c r="K21" s="27"/>
      <c r="L21" s="27"/>
      <c r="M21" s="27"/>
    </row>
    <row r="22" spans="1:13" s="24" customFormat="1">
      <c r="A22" s="25"/>
      <c r="B22" s="26"/>
      <c r="C22" s="27"/>
      <c r="D22" s="27"/>
      <c r="E22" s="27"/>
      <c r="F22" s="27"/>
      <c r="G22" s="27"/>
      <c r="H22" s="27"/>
      <c r="I22" s="28"/>
      <c r="J22" s="27"/>
      <c r="K22" s="27"/>
      <c r="L22" s="27"/>
      <c r="M22" s="27"/>
    </row>
    <row r="23" spans="1:13" s="24" customFormat="1">
      <c r="A23" s="25"/>
      <c r="B23" s="26"/>
      <c r="C23" s="27"/>
      <c r="D23" s="27"/>
      <c r="E23" s="27"/>
      <c r="F23" s="27"/>
      <c r="G23" s="27"/>
      <c r="H23" s="27"/>
      <c r="I23" s="28"/>
      <c r="J23" s="27"/>
      <c r="K23" s="27"/>
      <c r="L23" s="27"/>
      <c r="M23" s="27"/>
    </row>
    <row r="24" spans="1:13" s="24" customFormat="1">
      <c r="A24" s="25"/>
      <c r="B24" s="26"/>
      <c r="C24" s="27"/>
      <c r="D24" s="27"/>
      <c r="E24" s="27"/>
      <c r="F24" s="27"/>
      <c r="G24" s="27"/>
      <c r="H24" s="27"/>
      <c r="I24" s="28"/>
      <c r="J24" s="27"/>
      <c r="K24" s="27"/>
      <c r="L24" s="27"/>
      <c r="M24" s="27"/>
    </row>
    <row r="25" spans="1:13" s="24" customFormat="1">
      <c r="A25" s="25"/>
      <c r="B25" s="26"/>
      <c r="C25" s="27"/>
      <c r="D25" s="27"/>
      <c r="E25" s="27"/>
      <c r="F25" s="27"/>
      <c r="G25" s="27"/>
      <c r="H25" s="27"/>
      <c r="I25" s="28"/>
      <c r="J25" s="27"/>
      <c r="K25" s="27"/>
      <c r="L25" s="27"/>
      <c r="M25" s="27"/>
    </row>
    <row r="26" spans="1:13" s="24" customFormat="1">
      <c r="A26" s="25"/>
      <c r="B26" s="26"/>
      <c r="C26" s="27"/>
      <c r="D26" s="27"/>
      <c r="E26" s="27"/>
      <c r="F26" s="27"/>
      <c r="G26" s="27"/>
      <c r="H26" s="27"/>
      <c r="I26" s="28"/>
      <c r="J26" s="27"/>
      <c r="K26" s="27"/>
      <c r="L26" s="27"/>
      <c r="M26" s="27"/>
    </row>
    <row r="27" spans="1:13" s="24" customFormat="1">
      <c r="A27" s="25"/>
      <c r="B27" s="26"/>
      <c r="C27" s="27"/>
      <c r="D27" s="27"/>
      <c r="E27" s="27"/>
      <c r="F27" s="27"/>
      <c r="G27" s="27"/>
      <c r="H27" s="27"/>
      <c r="I27" s="28"/>
      <c r="J27" s="27"/>
      <c r="K27" s="27"/>
      <c r="L27" s="27"/>
      <c r="M27" s="27"/>
    </row>
    <row r="28" spans="1:13" s="24" customFormat="1">
      <c r="A28" s="20"/>
      <c r="B28" s="21"/>
      <c r="C28" s="22"/>
      <c r="D28" s="22"/>
      <c r="E28" s="22"/>
      <c r="F28" s="22"/>
      <c r="G28" s="22"/>
      <c r="H28" s="22"/>
      <c r="I28" s="23"/>
      <c r="J28" s="22"/>
      <c r="K28" s="22"/>
      <c r="L28" s="22"/>
      <c r="M28" s="22"/>
    </row>
    <row r="29" spans="1:13" s="24" customFormat="1">
      <c r="A29" s="20"/>
      <c r="B29" s="21"/>
      <c r="C29" s="22"/>
      <c r="D29" s="22"/>
      <c r="E29" s="22"/>
      <c r="F29" s="22"/>
      <c r="G29" s="22"/>
      <c r="H29" s="22"/>
      <c r="I29" s="23"/>
      <c r="J29" s="22"/>
      <c r="K29" s="22"/>
      <c r="L29" s="22"/>
      <c r="M29" s="22"/>
    </row>
    <row r="30" spans="1:13" s="24" customFormat="1">
      <c r="A30" s="20"/>
      <c r="B30" s="21"/>
      <c r="C30" s="22"/>
      <c r="D30" s="22"/>
      <c r="E30" s="22"/>
      <c r="F30" s="22"/>
      <c r="G30" s="22"/>
      <c r="H30" s="22"/>
      <c r="I30" s="23"/>
      <c r="J30" s="22"/>
      <c r="K30" s="22"/>
      <c r="L30" s="22"/>
      <c r="M30" s="22"/>
    </row>
    <row r="31" spans="1:13" s="24" customFormat="1">
      <c r="A31" s="20"/>
      <c r="B31" s="21"/>
      <c r="C31" s="22"/>
      <c r="D31" s="22"/>
      <c r="E31" s="22"/>
      <c r="F31" s="22"/>
      <c r="G31" s="22"/>
      <c r="H31" s="22"/>
      <c r="I31" s="23"/>
      <c r="J31" s="22"/>
      <c r="K31" s="22"/>
      <c r="L31" s="22"/>
      <c r="M31" s="22"/>
    </row>
    <row r="34" spans="5:8" ht="24.6">
      <c r="F34" s="9"/>
      <c r="G34" s="10" t="s">
        <v>55</v>
      </c>
      <c r="H34" s="11">
        <f>SUMIF(D2:D916,"مدفوع",I2:I916)-1110000</f>
        <v>63316.600000000093</v>
      </c>
    </row>
    <row r="35" spans="5:8" ht="24.6">
      <c r="E35" s="12"/>
      <c r="F35" s="9"/>
      <c r="G35" s="13" t="s">
        <v>56</v>
      </c>
      <c r="H35" s="14">
        <f>SUMIF(D2:D916,"مستقبلي",I2:I916)</f>
        <v>0</v>
      </c>
    </row>
    <row r="36" spans="5:8" ht="24.6">
      <c r="E36" s="12"/>
      <c r="F36" s="9"/>
      <c r="G36" s="15" t="s">
        <v>57</v>
      </c>
      <c r="H36" s="16">
        <f>SUMIF(D2:D916,"مدفوع",I2:I916)</f>
        <v>1173316.6000000001</v>
      </c>
    </row>
    <row r="37" spans="5:8">
      <c r="E37" s="12"/>
    </row>
    <row r="38" spans="5:8">
      <c r="E38" s="12"/>
    </row>
    <row r="40" spans="5:8">
      <c r="E40" s="17"/>
      <c r="H40" s="18"/>
    </row>
  </sheetData>
  <mergeCells count="1">
    <mergeCell ref="A2:M2"/>
  </mergeCells>
  <dataValidations count="1">
    <dataValidation type="list" allowBlank="1" showInputMessage="1" showErrorMessage="1" sqref="D5:D31" xr:uid="{00000000-0002-0000-0000-000000000000}">
      <formula1>$D$5:$D$31</formula1>
    </dataValidation>
  </dataValidations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المصروفات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Hussain Almoghalliq</dc:creator>
  <cp:lastModifiedBy>Hussain Almoghalliq</cp:lastModifiedBy>
  <dcterms:created xsi:type="dcterms:W3CDTF">2025-12-23T08:21:00Z</dcterms:created>
  <dcterms:modified xsi:type="dcterms:W3CDTF">2026-10-11T06:56:40Z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74F50253E9E145EA9343C632C0D6231F_13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