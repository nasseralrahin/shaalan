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bookViews>
    <workbookView windowWidth="19200" windowHeight="8000" tabRatio="713"/>
  </bookViews>
  <sheets>
    <sheet name="المصروفات" sheetId="7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<sst xmlns="http://schemas.openxmlformats.org/spreadsheetml/2006/main" count="113" uniqueCount="66">
  <si>
    <t>مصروفات البيت</t>
  </si>
  <si>
    <t>التاريخ</t>
  </si>
  <si>
    <t>الوصف</t>
  </si>
  <si>
    <t>مقدم الخدمة</t>
  </si>
  <si>
    <t>حالة
الدفع</t>
  </si>
  <si>
    <t>الفئة</t>
  </si>
  <si>
    <t>الفئة الفرعية</t>
  </si>
  <si>
    <t>ملاحظات</t>
  </si>
  <si>
    <t>مرحلة
المشروع</t>
  </si>
  <si>
    <t>المبلغ</t>
  </si>
  <si>
    <t>طريقة الدفع</t>
  </si>
  <si>
    <t>المرحلة</t>
  </si>
  <si>
    <t>معلومات إضافية</t>
  </si>
  <si>
    <t>تأكيد كل
المعلومات؟</t>
  </si>
  <si>
    <t>Jan ,2020</t>
  </si>
  <si>
    <t>سعر الأرض</t>
  </si>
  <si>
    <t xml:space="preserve">مبلغ موجود + قرض من الوالد </t>
  </si>
  <si>
    <t>مدفوع</t>
  </si>
  <si>
    <t>أرض</t>
  </si>
  <si>
    <t>شراء أرض</t>
  </si>
  <si>
    <t>قبل البناء</t>
  </si>
  <si>
    <t>شيك</t>
  </si>
  <si>
    <t>قرض من الوالد بقيمة  722,000 ريال</t>
  </si>
  <si>
    <t>May,2023</t>
  </si>
  <si>
    <t>تصميم الخارطة - الدفعة الأولى</t>
  </si>
  <si>
    <t>مكتب فرج الله الراشد  الهندسي- الدمام</t>
  </si>
  <si>
    <t>تصميم وهندسة</t>
  </si>
  <si>
    <t>تصميم معماري</t>
  </si>
  <si>
    <t>تحويل بنكي - ساب</t>
  </si>
  <si>
    <t>July 13,2023</t>
  </si>
  <si>
    <t>التحديد المساحي</t>
  </si>
  <si>
    <t>مكتب رؤية المستقبل</t>
  </si>
  <si>
    <t>رخص</t>
  </si>
  <si>
    <t>فحص ومسح ورخص</t>
  </si>
  <si>
    <t>Aug,2025</t>
  </si>
  <si>
    <t>فحص التربة</t>
  </si>
  <si>
    <t>الكعبي لفحص التربة</t>
  </si>
  <si>
    <t>فحص تربة</t>
  </si>
  <si>
    <t>تصميم الخارطة - الدفعة الثانية</t>
  </si>
  <si>
    <t>مكتب فرج الله الراشد الهندسي - الدمام</t>
  </si>
  <si>
    <t>Nov,2025</t>
  </si>
  <si>
    <t>تحديث إحداثيات الأرض في الموقع الجغرافي</t>
  </si>
  <si>
    <t>إصدار التقرير المساحي</t>
  </si>
  <si>
    <t>بلدي- عن طريق مكتب فرج الله الراشد الهندسي- الدمام</t>
  </si>
  <si>
    <t>تقرير مساحي من بلدي</t>
  </si>
  <si>
    <t>SAR 240.48</t>
  </si>
  <si>
    <t>نظام سداد</t>
  </si>
  <si>
    <t>Aug 27,2026</t>
  </si>
  <si>
    <t>الدفعة الأولى لشركة التعاونية للتأمين - تأمين ضد العيوب الخفية</t>
  </si>
  <si>
    <t>التعاونية للتأمين</t>
  </si>
  <si>
    <t>الدفعة الأولى تليها دفعة ثانية حين الانتهاء من البناء</t>
  </si>
  <si>
    <t>شراء عبر موقع التأمين- البنك العربي</t>
  </si>
  <si>
    <t>قيمة اتعاب مكتب المربع لعمل التأمين</t>
  </si>
  <si>
    <t>مكتب المربع الهندسي</t>
  </si>
  <si>
    <t>تحويل بنكي-  البنك العربي</t>
  </si>
  <si>
    <t>قيمة رخصة البناء</t>
  </si>
  <si>
    <t>وزارة البلديات والاسكان</t>
  </si>
  <si>
    <t>Aug 28,2026</t>
  </si>
  <si>
    <t>الدفعة الأولى للمقاول بن مقطوف</t>
  </si>
  <si>
    <t>مؤسسة بن مقطوف للمقاولات</t>
  </si>
  <si>
    <t>Sep24,2026</t>
  </si>
  <si>
    <t>إسناد الأرض والتربة قبل الحفر</t>
  </si>
  <si>
    <t xml:space="preserve">شركة العبدالرضا </t>
  </si>
  <si>
    <t>المدفوع حتى الآن – بدون الأرض</t>
  </si>
  <si>
    <t>الالتزامات المتبقية</t>
  </si>
  <si>
    <t>المدفوع إلى الآن مع سعر الأرض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</si>
</sst>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2" formatCode="_(&quot;$&quot;* #,##0_);_(&quot;$&quot;* \(#,##0\);_(&quot;$&quot;* &quot;-&quot;_);_(@_)"/>
    <numFmt numFmtId="43" formatCode="_(* #,##0.00_);_(* \(#,##0.00\);_(* &quot;-&quot;??_);_(@_)"/>
    <numFmt numFmtId="44" formatCode="_(&quot;$&quot;* #,##0.00_);_(&quot;$&quot;* \(#,##0.00\);_(&quot;$&quot;* &quot;-&quot;??_);_(@_)"/>
    <numFmt numFmtId="176" formatCode="_ * #,##0_ ;_ * \-#,##0_ ;_ * &quot;-&quot;_ ;_ @_ "/>
    <numFmt numFmtId="177" formatCode="[$-409]mmmm\ d\,\ yyyy;@"/>
    <numFmt numFmtId="178" formatCode="[$SAR]\ #,##0.00"/>
  </numFmts>
  <fonts count="25">
    <font>
      <sz val="11"/>
      <color theme="1"/>
      <name val="Aptos Narrow"/>
      <charset val="134"/>
      <scheme val="minor"/>
    </font>
    <font>
      <sz val="14"/>
      <color theme="1"/>
      <name val="Arial"/>
      <charset val="134"/>
    </font>
    <font>
      <b/>
      <sz val="30"/>
      <color theme="1"/>
      <name val="Arial"/>
      <charset val="134"/>
    </font>
    <font>
      <b/>
      <sz val="20"/>
      <color theme="1"/>
      <name val="Arial"/>
      <charset val="134"/>
    </font>
    <font>
      <b/>
      <sz val="7"/>
      <color rgb="FF111827"/>
      <name val="Consolas"/>
      <charset val="134"/>
    </font>
    <font>
      <b/>
      <sz val="14"/>
      <color rgb="FF374151"/>
      <name val="Arial"/>
      <charset val="134"/>
    </font>
    <font>
      <u/>
      <sz val="11"/>
      <color rgb="FF0000FF"/>
      <name val="Aptos Narrow"/>
      <charset val="0"/>
      <scheme val="minor"/>
    </font>
    <font>
      <u/>
      <sz val="11"/>
      <color rgb="FF800080"/>
      <name val="Aptos Narrow"/>
      <charset val="0"/>
      <scheme val="minor"/>
    </font>
    <font>
      <sz val="11"/>
      <color rgb="FFFF0000"/>
      <name val="Aptos Narrow"/>
      <charset val="0"/>
      <scheme val="minor"/>
    </font>
    <font>
      <b/>
      <sz val="18"/>
      <color theme="3"/>
      <name val="Aptos Narrow"/>
      <charset val="134"/>
      <scheme val="minor"/>
    </font>
    <font>
      <i/>
      <sz val="11"/>
      <color rgb="FF7F7F7F"/>
      <name val="Aptos Narrow"/>
      <charset val="0"/>
      <scheme val="minor"/>
    </font>
    <font>
      <b/>
      <sz val="15"/>
      <color theme="3"/>
      <name val="Aptos Narrow"/>
      <charset val="134"/>
      <scheme val="minor"/>
    </font>
    <font>
      <b/>
      <sz val="13"/>
      <color theme="3"/>
      <name val="Aptos Narrow"/>
      <charset val="134"/>
      <scheme val="minor"/>
    </font>
    <font>
      <b/>
      <sz val="11"/>
      <color theme="3"/>
      <name val="Aptos Narrow"/>
      <charset val="134"/>
      <scheme val="minor"/>
    </font>
    <font>
      <sz val="11"/>
      <color rgb="FF3F3F76"/>
      <name val="Aptos Narrow"/>
      <charset val="0"/>
      <scheme val="minor"/>
    </font>
    <font>
      <b/>
      <sz val="11"/>
      <color rgb="FF3F3F3F"/>
      <name val="Aptos Narrow"/>
      <charset val="0"/>
      <scheme val="minor"/>
    </font>
    <font>
      <b/>
      <sz val="11"/>
      <color rgb="FFFA7D00"/>
      <name val="Aptos Narrow"/>
      <charset val="0"/>
      <scheme val="minor"/>
    </font>
    <font>
      <b/>
      <sz val="11"/>
      <color rgb="FFFFFFFF"/>
      <name val="Aptos Narrow"/>
      <charset val="0"/>
      <scheme val="minor"/>
    </font>
    <font>
      <sz val="11"/>
      <color rgb="FFFA7D00"/>
      <name val="Aptos Narrow"/>
      <charset val="0"/>
      <scheme val="minor"/>
    </font>
    <font>
      <b/>
      <sz val="11"/>
      <color theme="1"/>
      <name val="Aptos Narrow"/>
      <charset val="0"/>
      <scheme val="minor"/>
    </font>
    <font>
      <sz val="11"/>
      <color rgb="FF006100"/>
      <name val="Aptos Narrow"/>
      <charset val="0"/>
      <scheme val="minor"/>
    </font>
    <font>
      <sz val="11"/>
      <color rgb="FF9C0006"/>
      <name val="Aptos Narrow"/>
      <charset val="0"/>
      <scheme val="minor"/>
    </font>
    <font>
      <sz val="11"/>
      <color rgb="FF9C6500"/>
      <name val="Aptos Narrow"/>
      <charset val="0"/>
      <scheme val="minor"/>
    </font>
    <font>
      <sz val="11"/>
      <color theme="0"/>
      <name val="Aptos Narrow"/>
      <charset val="0"/>
      <scheme val="minor"/>
    </font>
    <font>
      <sz val="11"/>
      <color theme="1"/>
      <name val="Aptos Narrow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/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6" borderId="3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8" borderId="7" applyNumberFormat="0" applyAlignment="0" applyProtection="0">
      <alignment vertical="center"/>
    </xf>
    <xf numFmtId="0" fontId="16" fillId="8" borderId="6" applyNumberFormat="0" applyAlignment="0" applyProtection="0">
      <alignment vertical="center"/>
    </xf>
    <xf numFmtId="0" fontId="17" fillId="9" borderId="8" applyNumberFormat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</cellStyleXfs>
  <cellXfs count="29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/>
    <xf numFmtId="177" fontId="1" fillId="0" borderId="0" xfId="0" applyNumberFormat="1" applyFont="1"/>
    <xf numFmtId="0" fontId="1" fillId="0" borderId="0" xfId="0" applyFont="1" applyAlignment="1">
      <alignment horizontal="right"/>
    </xf>
    <xf numFmtId="0" fontId="1" fillId="0" borderId="0" xfId="0" applyFont="1"/>
    <xf numFmtId="178" fontId="1" fillId="0" borderId="0" xfId="0" applyNumberFormat="1" applyFont="1"/>
    <xf numFmtId="177" fontId="2" fillId="0" borderId="0" xfId="0" applyNumberFormat="1" applyFont="1" applyAlignment="1">
      <alignment horizontal="center" vertical="distributed"/>
    </xf>
    <xf numFmtId="177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178" fontId="1" fillId="0" borderId="0" xfId="0" applyNumberFormat="1" applyFont="1" applyAlignment="1">
      <alignment horizontal="center" vertical="center"/>
    </xf>
    <xf numFmtId="177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right"/>
    </xf>
    <xf numFmtId="0" fontId="1" fillId="0" borderId="1" xfId="0" applyFont="1" applyBorder="1" applyAlignment="1">
      <alignment horizontal="center" vertical="center"/>
    </xf>
    <xf numFmtId="178" fontId="1" fillId="3" borderId="1" xfId="0" applyNumberFormat="1" applyFont="1" applyFill="1" applyBorder="1" applyAlignment="1">
      <alignment horizontal="center" vertical="center"/>
    </xf>
    <xf numFmtId="177" fontId="1" fillId="2" borderId="1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right"/>
    </xf>
    <xf numFmtId="0" fontId="1" fillId="2" borderId="1" xfId="0" applyFont="1" applyFill="1" applyBorder="1" applyAlignment="1">
      <alignment horizontal="center" vertical="center"/>
    </xf>
    <xf numFmtId="178" fontId="1" fillId="2" borderId="1" xfId="0" applyNumberFormat="1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78" fontId="3" fillId="3" borderId="2" xfId="0" applyNumberFormat="1" applyFont="1" applyFill="1" applyBorder="1" applyAlignment="1">
      <alignment horizontal="center" vertical="center"/>
    </xf>
    <xf numFmtId="4" fontId="4" fillId="0" borderId="0" xfId="0" applyNumberFormat="1" applyFont="1"/>
    <xf numFmtId="0" fontId="3" fillId="4" borderId="2" xfId="0" applyFont="1" applyFill="1" applyBorder="1" applyAlignment="1">
      <alignment horizontal="center" vertical="center"/>
    </xf>
    <xf numFmtId="178" fontId="3" fillId="4" borderId="2" xfId="0" applyNumberFormat="1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178" fontId="3" fillId="5" borderId="2" xfId="0" applyNumberFormat="1" applyFont="1" applyFill="1" applyBorder="1" applyAlignment="1">
      <alignment horizontal="center" vertical="center"/>
    </xf>
    <xf numFmtId="4" fontId="1" fillId="0" borderId="0" xfId="0" applyNumberFormat="1" applyFont="1"/>
    <xf numFmtId="0" fontId="5" fillId="0" borderId="0" xfId="0" applyFont="1" applyAlignment="1">
      <alignment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3">
    <dxf>
      <font>
        <name val="Arial"/>
        <scheme val="none"/>
        <family val="2"/>
        <strike val="0"/>
        <u val="none"/>
        <sz val="14"/>
        <color theme="1"/>
      </font>
      <numFmt numFmtId="177" formatCode="[$-409]mmmm\ d\,\ yyyy;@"/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family val="2"/>
        <strike val="0"/>
        <u val="none"/>
        <sz val="14"/>
        <color theme="1"/>
      </font>
      <alignment horizontal="righ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family val="2"/>
        <strike val="0"/>
        <u val="none"/>
        <sz val="14"/>
        <color theme="1"/>
      </font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family val="2"/>
        <strike val="0"/>
        <u val="none"/>
        <sz val="14"/>
        <color theme="1"/>
      </font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family val="2"/>
        <strike val="0"/>
        <u val="none"/>
        <sz val="14"/>
        <color theme="1"/>
      </font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family val="2"/>
        <strike val="0"/>
        <u val="none"/>
        <sz val="14"/>
        <color theme="1"/>
      </font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family val="2"/>
        <b val="0"/>
        <i val="0"/>
        <strike val="0"/>
        <u val="none"/>
        <sz val="14"/>
        <color theme="1"/>
      </font>
      <fill>
        <patternFill patternType="solid">
          <bgColor theme="0"/>
        </patternFill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family val="2"/>
        <strike val="0"/>
        <u val="none"/>
        <sz val="14"/>
        <color theme="1"/>
      </font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family val="2"/>
        <strike val="0"/>
        <u val="none"/>
        <sz val="14"/>
        <color theme="1"/>
      </font>
      <numFmt numFmtId="178" formatCode="[$SAR]\ #,##0.00"/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family val="2"/>
        <strike val="0"/>
        <u val="none"/>
        <sz val="14"/>
        <color theme="1"/>
      </font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family val="2"/>
        <b val="0"/>
        <i val="0"/>
        <strike val="0"/>
        <u val="none"/>
        <sz val="14"/>
        <color theme="1"/>
      </font>
      <fill>
        <patternFill patternType="solid">
          <bgColor theme="0"/>
        </patternFill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family val="2"/>
        <strike val="0"/>
        <u val="none"/>
        <sz val="14"/>
        <color theme="1"/>
      </font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family val="2"/>
        <strike val="0"/>
        <u val="none"/>
        <sz val="14"/>
        <color theme="1"/>
      </font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Table1" displayName="Table1" ref="A4:M23" totalsRowShown="0">
  <autoFilter xmlns:etc="http://www.wps.cn/officeDocument/2017/etCustomData" ref="A4:M23" etc:filterBottomFollowUsedRange="0"/>
  <tableColumns count="13">
    <tableColumn id="1" name="التاريخ" dataDxfId="0"/>
    <tableColumn id="2" name="الوصف" dataDxfId="1"/>
    <tableColumn id="3" name="مقدم الخدمة" dataDxfId="2"/>
    <tableColumn id="4" name="حالة&#10;الدفع" dataDxfId="3"/>
    <tableColumn id="5" name="الفئة" dataDxfId="4"/>
    <tableColumn id="6" name="الفئة الفرعية" dataDxfId="5"/>
    <tableColumn id="15" name="ملاحظات" dataDxfId="6"/>
    <tableColumn id="7" name="مرحلة&#10;المشروع" dataDxfId="7"/>
    <tableColumn id="8" name="المبلغ" dataDxfId="8"/>
    <tableColumn id="9" name="طريقة الدفع" dataDxfId="9"/>
    <tableColumn id="12" name="المرحلة" dataDxfId="10"/>
    <tableColumn id="10" name="معلومات إضافية" dataDxfId="11"/>
    <tableColumn id="11" name="تأكيد كل&#10;المعلومات؟" dataDxfId="1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2:M32"/>
  <sheetViews>
    <sheetView tabSelected="1" rightToLeft="1" zoomScale="85" zoomScaleNormal="85" workbookViewId="0">
      <selection activeCell="I18" sqref="I18"/>
    </sheetView>
  </sheetViews>
  <sheetFormatPr defaultColWidth="8.78333333333333" defaultRowHeight="17.5"/>
  <cols>
    <col min="1" max="1" width="24.4416666666667" style="3" customWidth="1"/>
    <col min="2" max="2" width="134.333333333333" style="4" customWidth="1"/>
    <col min="3" max="3" width="42.25" style="5" customWidth="1"/>
    <col min="4" max="4" width="9.66666666666667" style="5" customWidth="1"/>
    <col min="5" max="6" width="19.3333333333333" style="5" customWidth="1"/>
    <col min="7" max="7" width="42.3333333333333" style="5" customWidth="1"/>
    <col min="8" max="8" width="25.775" style="5" customWidth="1"/>
    <col min="9" max="9" width="22.5416666666667" style="6" customWidth="1"/>
    <col min="10" max="10" width="30.2916666666667" style="5" customWidth="1"/>
    <col min="11" max="11" width="12" style="5" customWidth="1"/>
    <col min="12" max="12" width="35.8916666666667" style="5" customWidth="1"/>
    <col min="13" max="13" width="14.6666666666667" style="5" customWidth="1"/>
    <col min="14" max="14" width="8.78333333333333" style="5"/>
    <col min="15" max="15" width="6.89166666666667" style="5" customWidth="1"/>
    <col min="16" max="16384" width="8.78333333333333" style="5"/>
  </cols>
  <sheetData>
    <row r="2" ht="37.5" spans="1:13">
      <c r="A2" s="7" t="s">
        <v>0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</row>
    <row r="4" s="1" customFormat="1" ht="35" spans="1:13">
      <c r="A4" s="8" t="s">
        <v>1</v>
      </c>
      <c r="B4" s="4" t="s">
        <v>2</v>
      </c>
      <c r="C4" s="1" t="s">
        <v>3</v>
      </c>
      <c r="D4" s="9" t="s">
        <v>4</v>
      </c>
      <c r="E4" s="1" t="s">
        <v>5</v>
      </c>
      <c r="F4" s="1" t="s">
        <v>6</v>
      </c>
      <c r="G4" s="1" t="s">
        <v>7</v>
      </c>
      <c r="H4" s="9" t="s">
        <v>8</v>
      </c>
      <c r="I4" s="10" t="s">
        <v>9</v>
      </c>
      <c r="J4" s="1" t="s">
        <v>10</v>
      </c>
      <c r="K4" s="1" t="s">
        <v>11</v>
      </c>
      <c r="L4" s="1" t="s">
        <v>12</v>
      </c>
      <c r="M4" s="9" t="s">
        <v>13</v>
      </c>
    </row>
    <row r="5" spans="1:13">
      <c r="A5" s="11" t="s">
        <v>14</v>
      </c>
      <c r="B5" s="12" t="s">
        <v>15</v>
      </c>
      <c r="C5" s="13" t="s">
        <v>16</v>
      </c>
      <c r="D5" s="13" t="s">
        <v>17</v>
      </c>
      <c r="E5" s="13" t="s">
        <v>18</v>
      </c>
      <c r="F5" s="13" t="s">
        <v>19</v>
      </c>
      <c r="G5" s="13"/>
      <c r="H5" s="13" t="s">
        <v>20</v>
      </c>
      <c r="I5" s="14">
        <v>1100000</v>
      </c>
      <c r="J5" s="13" t="s">
        <v>21</v>
      </c>
      <c r="K5" s="13"/>
      <c r="L5" s="13" t="s">
        <v>22</v>
      </c>
      <c r="M5" s="13"/>
    </row>
    <row r="6" spans="1:13">
      <c r="A6" s="11" t="s">
        <v>23</v>
      </c>
      <c r="B6" s="12" t="s">
        <v>24</v>
      </c>
      <c r="C6" s="13" t="s">
        <v>25</v>
      </c>
      <c r="D6" s="13" t="s">
        <v>17</v>
      </c>
      <c r="E6" s="13" t="s">
        <v>26</v>
      </c>
      <c r="F6" s="13" t="s">
        <v>27</v>
      </c>
      <c r="G6" s="13"/>
      <c r="H6" s="13" t="s">
        <v>20</v>
      </c>
      <c r="I6" s="14">
        <v>15600</v>
      </c>
      <c r="J6" s="13" t="s">
        <v>28</v>
      </c>
      <c r="K6" s="13"/>
      <c r="L6" s="13"/>
      <c r="M6" s="13"/>
    </row>
    <row r="7" spans="1:13">
      <c r="A7" s="11" t="s">
        <v>29</v>
      </c>
      <c r="B7" s="12" t="s">
        <v>30</v>
      </c>
      <c r="C7" s="13" t="s">
        <v>31</v>
      </c>
      <c r="D7" s="13" t="s">
        <v>17</v>
      </c>
      <c r="E7" s="13" t="s">
        <v>32</v>
      </c>
      <c r="F7" s="13" t="s">
        <v>33</v>
      </c>
      <c r="G7" s="13"/>
      <c r="H7" s="13" t="s">
        <v>20</v>
      </c>
      <c r="I7" s="14">
        <v>575</v>
      </c>
      <c r="J7" s="13" t="s">
        <v>28</v>
      </c>
      <c r="K7" s="13"/>
      <c r="L7" s="13"/>
      <c r="M7" s="13"/>
    </row>
    <row r="8" spans="1:13">
      <c r="A8" s="11" t="s">
        <v>34</v>
      </c>
      <c r="B8" s="12" t="s">
        <v>35</v>
      </c>
      <c r="C8" s="13" t="s">
        <v>36</v>
      </c>
      <c r="D8" s="13" t="s">
        <v>17</v>
      </c>
      <c r="E8" s="13" t="s">
        <v>33</v>
      </c>
      <c r="F8" s="13" t="s">
        <v>33</v>
      </c>
      <c r="G8" s="13" t="s">
        <v>37</v>
      </c>
      <c r="H8" s="13" t="s">
        <v>20</v>
      </c>
      <c r="I8" s="14">
        <v>7000</v>
      </c>
      <c r="J8" s="13" t="s">
        <v>28</v>
      </c>
      <c r="K8" s="13"/>
      <c r="L8" s="13"/>
      <c r="M8" s="13"/>
    </row>
    <row r="9" spans="1:13">
      <c r="A9" s="11" t="s">
        <v>34</v>
      </c>
      <c r="B9" s="12" t="s">
        <v>38</v>
      </c>
      <c r="C9" s="13" t="s">
        <v>39</v>
      </c>
      <c r="D9" s="13" t="s">
        <v>17</v>
      </c>
      <c r="E9" s="13" t="s">
        <v>26</v>
      </c>
      <c r="F9" s="13" t="s">
        <v>27</v>
      </c>
      <c r="G9" s="13"/>
      <c r="H9" s="13" t="s">
        <v>20</v>
      </c>
      <c r="I9" s="14">
        <v>15600</v>
      </c>
      <c r="J9" s="13" t="s">
        <v>28</v>
      </c>
      <c r="K9" s="13"/>
      <c r="L9" s="13"/>
      <c r="M9" s="13"/>
    </row>
    <row r="10" spans="1:13">
      <c r="A10" s="11" t="s">
        <v>40</v>
      </c>
      <c r="B10" s="12" t="s">
        <v>41</v>
      </c>
      <c r="C10" s="13" t="s">
        <v>31</v>
      </c>
      <c r="D10" s="13" t="s">
        <v>17</v>
      </c>
      <c r="E10" s="13" t="s">
        <v>33</v>
      </c>
      <c r="F10" s="13" t="s">
        <v>33</v>
      </c>
      <c r="G10" s="13"/>
      <c r="H10" s="13" t="s">
        <v>20</v>
      </c>
      <c r="I10" s="14">
        <v>200</v>
      </c>
      <c r="J10" s="13" t="s">
        <v>28</v>
      </c>
      <c r="K10" s="13"/>
      <c r="L10" s="13"/>
      <c r="M10" s="13"/>
    </row>
    <row r="11" spans="1:13">
      <c r="A11" s="11" t="s">
        <v>40</v>
      </c>
      <c r="B11" s="12" t="s">
        <v>42</v>
      </c>
      <c r="C11" s="13" t="s">
        <v>43</v>
      </c>
      <c r="D11" s="13" t="s">
        <v>17</v>
      </c>
      <c r="E11" s="13" t="s">
        <v>32</v>
      </c>
      <c r="F11" s="13" t="s">
        <v>33</v>
      </c>
      <c r="G11" s="13" t="s">
        <v>44</v>
      </c>
      <c r="H11" s="13" t="s">
        <v>20</v>
      </c>
      <c r="I11" s="14" t="s">
        <v>45</v>
      </c>
      <c r="J11" s="13" t="s">
        <v>46</v>
      </c>
      <c r="K11" s="13"/>
      <c r="L11" s="13"/>
      <c r="M11" s="13"/>
    </row>
    <row r="12" s="2" customFormat="1" spans="1:13">
      <c r="A12" s="15" t="s">
        <v>47</v>
      </c>
      <c r="B12" s="16" t="s">
        <v>48</v>
      </c>
      <c r="C12" s="17" t="s">
        <v>49</v>
      </c>
      <c r="D12" s="17" t="s">
        <v>17</v>
      </c>
      <c r="E12" s="17" t="s">
        <v>32</v>
      </c>
      <c r="F12" s="17" t="s">
        <v>33</v>
      </c>
      <c r="G12" s="17" t="s">
        <v>50</v>
      </c>
      <c r="H12" s="17" t="s">
        <v>20</v>
      </c>
      <c r="I12" s="18">
        <v>13022</v>
      </c>
      <c r="J12" s="17" t="s">
        <v>51</v>
      </c>
      <c r="K12" s="17"/>
      <c r="L12" s="17"/>
      <c r="M12" s="17"/>
    </row>
    <row r="13" s="2" customFormat="1" spans="1:13">
      <c r="A13" s="15" t="s">
        <v>47</v>
      </c>
      <c r="B13" s="16" t="s">
        <v>52</v>
      </c>
      <c r="C13" s="17" t="s">
        <v>53</v>
      </c>
      <c r="D13" s="17" t="s">
        <v>17</v>
      </c>
      <c r="E13" s="17" t="s">
        <v>32</v>
      </c>
      <c r="F13" s="17" t="s">
        <v>33</v>
      </c>
      <c r="G13" s="17"/>
      <c r="H13" s="17" t="s">
        <v>20</v>
      </c>
      <c r="I13" s="18">
        <v>500</v>
      </c>
      <c r="J13" s="17" t="s">
        <v>54</v>
      </c>
      <c r="K13" s="17"/>
      <c r="L13" s="17"/>
      <c r="M13" s="17"/>
    </row>
    <row r="14" s="2" customFormat="1" spans="1:13">
      <c r="A14" s="15" t="s">
        <v>47</v>
      </c>
      <c r="B14" s="16" t="s">
        <v>55</v>
      </c>
      <c r="C14" s="17" t="s">
        <v>56</v>
      </c>
      <c r="D14" s="17" t="s">
        <v>17</v>
      </c>
      <c r="E14" s="17" t="s">
        <v>32</v>
      </c>
      <c r="F14" s="17" t="s">
        <v>33</v>
      </c>
      <c r="G14" s="17"/>
      <c r="H14" s="17" t="s">
        <v>20</v>
      </c>
      <c r="I14" s="18">
        <v>1319.6</v>
      </c>
      <c r="J14" s="17"/>
      <c r="K14" s="17"/>
      <c r="L14" s="17"/>
      <c r="M14" s="17"/>
    </row>
    <row r="15" s="2" customFormat="1" spans="1:13">
      <c r="A15" s="15" t="s">
        <v>57</v>
      </c>
      <c r="B15" s="16" t="s">
        <v>58</v>
      </c>
      <c r="C15" s="17" t="s">
        <v>59</v>
      </c>
      <c r="D15" s="17" t="s">
        <v>17</v>
      </c>
      <c r="E15" s="17" t="s">
        <v>26</v>
      </c>
      <c r="F15" s="17"/>
      <c r="G15" s="17"/>
      <c r="H15" s="17" t="s">
        <v>20</v>
      </c>
      <c r="I15" s="18">
        <v>10000</v>
      </c>
      <c r="J15" s="17"/>
      <c r="K15" s="17"/>
      <c r="L15" s="17"/>
      <c r="M15" s="17"/>
    </row>
    <row r="16" s="2" customFormat="1" spans="1:13">
      <c r="A16" s="15" t="s">
        <v>60</v>
      </c>
      <c r="B16" s="16" t="s">
        <v>61</v>
      </c>
      <c r="C16" s="17" t="s">
        <v>62</v>
      </c>
      <c r="D16" s="17" t="s">
        <v>17</v>
      </c>
      <c r="E16" s="17" t="s">
        <v>33</v>
      </c>
      <c r="F16" s="17"/>
      <c r="G16" s="17"/>
      <c r="H16" s="17" t="s">
        <v>20</v>
      </c>
      <c r="I16" s="18">
        <v>9500</v>
      </c>
      <c r="J16" s="17"/>
      <c r="K16" s="17"/>
      <c r="L16" s="17"/>
      <c r="M16" s="17"/>
    </row>
    <row r="17" s="2" customFormat="1" spans="1:13">
      <c r="A17" s="15"/>
      <c r="B17" s="16"/>
      <c r="C17" s="17"/>
      <c r="D17" s="17"/>
      <c r="E17" s="17"/>
      <c r="F17" s="17"/>
      <c r="G17" s="17"/>
      <c r="H17" s="17"/>
      <c r="I17" s="18"/>
      <c r="J17" s="17"/>
      <c r="K17" s="17"/>
      <c r="L17" s="17"/>
      <c r="M17" s="17"/>
    </row>
    <row r="18" s="2" customFormat="1" spans="1:13">
      <c r="A18" s="15"/>
      <c r="B18" s="16"/>
      <c r="C18" s="17"/>
      <c r="D18" s="17"/>
      <c r="E18" s="17"/>
      <c r="F18" s="17"/>
      <c r="G18" s="17"/>
      <c r="H18" s="17"/>
      <c r="I18" s="18"/>
      <c r="J18" s="17"/>
      <c r="K18" s="17"/>
      <c r="L18" s="17"/>
      <c r="M18" s="17"/>
    </row>
    <row r="19" s="2" customFormat="1" spans="1:13">
      <c r="A19" s="15"/>
      <c r="B19" s="16"/>
      <c r="C19" s="17"/>
      <c r="D19" s="17"/>
      <c r="E19" s="17"/>
      <c r="F19" s="17"/>
      <c r="G19" s="17"/>
      <c r="H19" s="17"/>
      <c r="I19" s="18"/>
      <c r="J19" s="17"/>
      <c r="K19" s="17"/>
      <c r="L19" s="17"/>
      <c r="M19" s="17"/>
    </row>
    <row r="20" s="2" customFormat="1" spans="1:13">
      <c r="A20" s="15"/>
      <c r="B20" s="16"/>
      <c r="C20" s="17"/>
      <c r="D20" s="17"/>
      <c r="E20" s="17"/>
      <c r="F20" s="17"/>
      <c r="G20" s="17"/>
      <c r="H20" s="17"/>
      <c r="I20" s="18"/>
      <c r="J20" s="17"/>
      <c r="K20" s="17"/>
      <c r="L20" s="17"/>
      <c r="M20" s="17"/>
    </row>
    <row r="21" s="2" customFormat="1" spans="1:13">
      <c r="A21" s="15"/>
      <c r="B21" s="16"/>
      <c r="C21" s="17"/>
      <c r="D21" s="17"/>
      <c r="E21" s="17"/>
      <c r="F21" s="17"/>
      <c r="G21" s="17"/>
      <c r="H21" s="17"/>
      <c r="I21" s="18"/>
      <c r="J21" s="17"/>
      <c r="K21" s="17"/>
      <c r="L21" s="17"/>
      <c r="M21" s="17"/>
    </row>
    <row r="22" spans="1:13">
      <c r="A22" s="15"/>
      <c r="B22" s="16"/>
      <c r="C22" s="17"/>
      <c r="D22" s="17"/>
      <c r="E22" s="17"/>
      <c r="F22" s="17"/>
      <c r="G22" s="17"/>
      <c r="H22" s="17"/>
      <c r="I22" s="18"/>
      <c r="J22" s="17"/>
      <c r="K22" s="17"/>
      <c r="L22" s="17"/>
      <c r="M22" s="17"/>
    </row>
    <row r="23" spans="1:13">
      <c r="A23" s="15"/>
      <c r="B23" s="16"/>
      <c r="C23" s="17"/>
      <c r="D23" s="17"/>
      <c r="E23" s="17"/>
      <c r="F23" s="17"/>
      <c r="G23" s="17"/>
      <c r="H23" s="17"/>
      <c r="I23" s="18"/>
      <c r="J23" s="17"/>
      <c r="K23" s="17"/>
      <c r="L23" s="17"/>
      <c r="M23" s="17"/>
    </row>
    <row r="26" ht="26.5" spans="1:13">
      <c r="F26" s="19"/>
      <c r="G26" s="20" t="s">
        <v>63</v>
      </c>
      <c r="H26" s="21">
        <f>SUMIF(D2:D908,"مدفوع",I2:I908)-748000</f>
        <v>425316.6</v>
      </c>
    </row>
    <row r="27" ht="26.5" spans="1:13">
      <c r="E27" s="22"/>
      <c r="F27" s="19"/>
      <c r="G27" s="23" t="s">
        <v>64</v>
      </c>
      <c r="H27" s="24">
        <f>SUMIF(D2:D908,"مستقبلي",I2:I908)</f>
        <v>0</v>
      </c>
    </row>
    <row r="28" ht="26.5" spans="1:13">
      <c r="E28" s="22"/>
      <c r="F28" s="19"/>
      <c r="G28" s="25" t="s">
        <v>65</v>
      </c>
      <c r="H28" s="26">
        <f>SUMIF(D2:D908,"مدفوع",I2:I908)</f>
        <v>1173316.6</v>
      </c>
    </row>
    <row r="29" spans="1:13">
      <c r="E29" s="22"/>
    </row>
    <row r="30" spans="1:13">
      <c r="E30" s="22"/>
    </row>
    <row r="32" ht="18" spans="1:13">
      <c r="E32" s="27"/>
      <c r="H32" s="28"/>
    </row>
  </sheetData>
  <mergeCells count="1">
    <mergeCell ref="A2:M2"/>
  </mergeCells>
  <dataValidations count="1">
    <dataValidation type="list" allowBlank="1" showInputMessage="1" showErrorMessage="1" sqref="D5:D23">
      <formula1>$D$5:$D$23</formula1>
    </dataValidation>
  </dataValidations>
  <pageMargins left="0.7" right="0.7" top="0.75" bottom="0.75" header="0.3" footer="0.3"/>
  <pageSetup paperSize="9" orientation="portrait"/>
  <headerFooter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المصروفات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Hussain Almoghalliq</dc:creator>
  <cp:lastModifiedBy>Lenovo</cp:lastModifiedBy>
  <dcterms:created xsi:type="dcterms:W3CDTF">2025-12-23T08:21:00Z</dcterms:created>
  <dcterms:modified xsi:type="dcterms:W3CDTF">2026-09-30T13:03:25Z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74F50253E9E145EA9343C632C0D6231F_13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