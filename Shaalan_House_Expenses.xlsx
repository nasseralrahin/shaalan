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DC531FDD-68CE-4142-A35D-F49BEE651ABB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3" i="9" l="1"/>
  <c r="L48" i="9"/>
  <c r="G31" i="9"/>
  <c r="G38" i="9" s="1"/>
  <c r="G40" i="9" s="1"/>
  <c r="G30" i="9"/>
  <c r="G32" i="9"/>
  <c r="G33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31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H32" i="7"/>
  <c r="E10" i="3"/>
  <c r="H30" i="7"/>
</calcChain>
</file>

<file path=xl/sharedStrings.xml><?xml version="1.0" encoding="utf-8"?>
<sst xmlns="http://schemas.openxmlformats.org/spreadsheetml/2006/main" count="287" uniqueCount="104">
  <si>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</si>
  <si>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</si>
  <si>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</si>
  <si>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</si>
  <si>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</si>
  <si>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</si>
  <si>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</si>
  <si>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</si>
  <si>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</si>
  <si>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</si>
  <si>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تصميم الخارطة - الدفعة الأولى</t>
  </si>
  <si>
    <t>تصميم الخارطة - الدفعة الثانية</t>
  </si>
  <si>
    <t>تصميم الخارطة ثلاثي الأبعاد</t>
  </si>
  <si>
    <t>إصدار شهادة التحديد المساحي</t>
  </si>
  <si>
    <t>خدمة الإقرار المساحي</t>
  </si>
  <si>
    <t>منصة بلدي</t>
  </si>
  <si>
    <t>فحص التربة</t>
  </si>
  <si>
    <t>تمنكو لمختبرات التربة</t>
  </si>
  <si>
    <t>مشتاق المير</t>
  </si>
  <si>
    <t>مستقبلي</t>
  </si>
  <si>
    <t>ابن مقطوف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</si>
  <si>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</si>
  <si>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</si>
  <si>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</si>
  <si>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</si>
  <si>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</si>
  <si>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</si>
  <si>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</si>
  <si>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</si>
  <si>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</si>
  <si>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الفئة</t>
  </si>
  <si>
    <t>الفئة الفرعية</t>
  </si>
  <si>
    <t>تصميم معماري</t>
  </si>
  <si>
    <t>قبل البناء</t>
  </si>
  <si>
    <t>طريقة الدفع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</si>
  <si>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</si>
  <si>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</si>
  <si>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</si>
  <si>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</si>
  <si>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</si>
  <si>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</si>
  <si>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</si>
  <si>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</si>
  <si>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مقاول وأعمال إنشائية</t>
  </si>
  <si>
    <t>دفعة مقاول</t>
  </si>
  <si>
    <t>إشراف هندسي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</si>
  <si>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</si>
  <si>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</si>
  <si>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</si>
  <si>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</si>
  <si>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</si>
  <si>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الوالد</t>
  </si>
  <si>
    <t>الدفعة العاشرة للمقاول - بعد الإنتهاء من تركيب الطابوق وصب الأعتاب في الدور الأول</t>
  </si>
  <si>
    <t>إشراف</t>
  </si>
  <si>
    <t>صبية الأساسات</t>
  </si>
  <si>
    <t>خرسانة المهرون</t>
  </si>
  <si>
    <t>الرصيد المتبقي للإستخدام</t>
  </si>
  <si>
    <t>سعر المتر</t>
  </si>
  <si>
    <t>الكمية</t>
  </si>
  <si>
    <t>تم الدفع</t>
  </si>
  <si>
    <t>اضافة رصيد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</si>
  <si>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</si>
  <si>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</si>
  <si>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</si>
  <si>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</si>
  <si>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</si>
  <si>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</si>
  <si>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</si>
  <si>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</si>
  <si>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</si>
  <si>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صبية أعمدة</t>
  </si>
  <si>
    <t>8 متر مكعب
ضغط 4000</t>
  </si>
  <si>
    <t>صبية ألنظافة</t>
  </si>
  <si>
    <t>18 متر مكعب
ضغط 4000</t>
  </si>
  <si>
    <t>صبية الميدة</t>
  </si>
  <si>
    <t>45 متر مكعب
ضغط 4000</t>
  </si>
  <si>
    <t>رصيد الأمتار المتبقية - م ٣</t>
  </si>
  <si>
    <t>صبية الأرضية</t>
  </si>
  <si>
    <t>٢٨ متر مكعب
ضغط 4000</t>
  </si>
  <si>
    <t>الراية</t>
  </si>
  <si>
    <t>صبية أعمدة الدور الأرضي</t>
  </si>
  <si>
    <t>المدفوع إلى الآن مع سعر الأرض</t>
  </si>
  <si>
    <t>الالتزامات المتبقية</t>
  </si>
  <si>
    <t>المدفوع حتى الآن – بدون الأرض</t>
  </si>
  <si>
    <t>المرحلة</t>
  </si>
  <si>
    <t>معلومات إضافية</t>
  </si>
  <si>
    <t>فحص ومسح ورخص</t>
  </si>
  <si>
    <t>صبية الأعتاب  والأعمدة  والدرج</t>
  </si>
  <si>
    <t>١٠ متر مكعب
ضغط 4000</t>
  </si>
  <si>
    <t>6 متر مكعب
ضغط 4000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</si>
  <si>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</si>
  <si>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</si>
  <si>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</si>
  <si>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</si>
  <si>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</si>
  <si>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Column1</t>
  </si>
  <si>
    <t>صبية سقف الطابق الأرضي</t>
  </si>
  <si>
    <t>96 متر مكعب ضغط 4000</t>
  </si>
  <si>
    <t>ماء بارد لصبية سقف الدور الأرضي</t>
  </si>
  <si>
    <t>صبية أعمدة الطابق الأول</t>
  </si>
  <si>
    <t>ماء بارد لصبية أعمدة الدور الأول</t>
  </si>
  <si>
    <t>حاسبة خرسانة الأسمنت</t>
  </si>
  <si>
    <t>حاسبة الماء البارد للخرسانة</t>
  </si>
  <si>
    <t>15 متر مكعب ضغط 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</si>
</sst>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84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0" fontId="1" fillId="2" borderId="10" xfId="0" applyFont="1" applyFill="1" applyBorder="1"/>
    <xf numFmtId="2" fontId="1" fillId="0" borderId="1" xfId="0" applyNumberFormat="1" applyFont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5" fillId="5" borderId="1" xfId="0" applyNumberFormat="1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27" totalsRowShown="0" headerRowDxfId="65" dataDxfId="64">
  <autoFilter ref="A4:M27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36"/>
  <sheetViews>
    <sheetView rightToLeft="1" tabSelected="1" zoomScale="85" zoomScaleNormal="85" workbookViewId="0">
      <selection activeCell="A12" sqref="A12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6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3" width="14.6640625" style="21" bestFit="1" customWidth="1"/>
    <col min="14" max="14" width="8.77734375" style="21"/>
    <col min="15" max="15" width="6.88671875" style="21" bestFit="1" customWidth="1"/>
    <col min="16" max="16384" width="8.77734375" style="21"/>
  </cols>
  <sheetData>
    <row r="2" spans="1:13" ht="37.799999999999997" x14ac:dyDescent="0.3">
      <c r="A2" s="78" t="s">
        <v>0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</row>
    <row r="4" spans="1:13" s="25" customFormat="1" ht="34.799999999999997" x14ac:dyDescent="0.3">
      <c r="A4" s="24" t="s">
        <v>1</v>
      </c>
      <c r="B4" s="56" t="s">
        <v>2</v>
      </c>
      <c r="C4" s="25" t="s">
        <v>3</v>
      </c>
      <c r="D4" s="27" t="s">
        <v>49</v>
      </c>
      <c r="E4" s="25" t="s">
        <v>30</v>
      </c>
      <c r="F4" s="25" t="s">
        <v>31</v>
      </c>
      <c r="G4" s="25" t="s">
        <v>7</v>
      </c>
      <c r="H4" s="27" t="s">
        <v>48</v>
      </c>
      <c r="I4" s="26" t="s">
        <v>6</v>
      </c>
      <c r="J4" s="25" t="s">
        <v>34</v>
      </c>
      <c r="K4" s="25" t="s">
        <v>84</v>
      </c>
      <c r="L4" s="25" t="s">
        <v>85</v>
      </c>
      <c r="M4" s="27" t="s">
        <v>47</v>
      </c>
    </row>
    <row r="5" spans="1:13" x14ac:dyDescent="0.3">
      <c r="A5" s="67">
        <v>45302</v>
      </c>
      <c r="B5" s="68" t="s">
        <v>8</v>
      </c>
      <c r="C5" s="69" t="s">
        <v>51</v>
      </c>
      <c r="D5" s="69" t="s">
        <v>9</v>
      </c>
      <c r="E5" s="69" t="s">
        <v>37</v>
      </c>
      <c r="F5" s="69" t="s">
        <v>38</v>
      </c>
      <c r="G5" s="69"/>
      <c r="H5" s="69" t="s">
        <v>33</v>
      </c>
      <c r="I5" s="83"/>
      <c r="J5" s="69"/>
      <c r="K5" s="69"/>
      <c r="L5" s="69"/>
      <c r="M5" s="69"/>
    </row>
    <row r="6" spans="1:13" x14ac:dyDescent="0.3">
      <c r="A6" s="67">
        <v>45448</v>
      </c>
      <c r="B6" s="68" t="s">
        <v>10</v>
      </c>
      <c r="C6" s="69" t="s">
        <v>22</v>
      </c>
      <c r="D6" s="69" t="s">
        <v>9</v>
      </c>
      <c r="E6" s="69" t="s">
        <v>35</v>
      </c>
      <c r="F6" s="69" t="s">
        <v>32</v>
      </c>
      <c r="G6" s="69"/>
      <c r="H6" s="69" t="s">
        <v>33</v>
      </c>
      <c r="I6" s="83"/>
      <c r="J6" s="69"/>
      <c r="K6" s="69"/>
      <c r="L6" s="69"/>
      <c r="M6" s="69"/>
    </row>
    <row r="7" spans="1:13" x14ac:dyDescent="0.3">
      <c r="A7" s="67">
        <v>45475</v>
      </c>
      <c r="B7" s="68" t="s">
        <v>16</v>
      </c>
      <c r="C7" s="69" t="s">
        <v>17</v>
      </c>
      <c r="D7" s="69" t="s">
        <v>9</v>
      </c>
      <c r="E7" s="69" t="s">
        <v>86</v>
      </c>
      <c r="F7" s="69" t="s">
        <v>86</v>
      </c>
      <c r="G7" s="69" t="s">
        <v>39</v>
      </c>
      <c r="H7" s="69" t="s">
        <v>33</v>
      </c>
      <c r="I7" s="83"/>
      <c r="J7" s="69"/>
      <c r="K7" s="69"/>
      <c r="L7" s="69"/>
      <c r="M7" s="69"/>
    </row>
    <row r="8" spans="1:13" x14ac:dyDescent="0.3">
      <c r="A8" s="67">
        <v>45538</v>
      </c>
      <c r="B8" s="68" t="s">
        <v>11</v>
      </c>
      <c r="C8" s="69" t="s">
        <v>22</v>
      </c>
      <c r="D8" s="69" t="s">
        <v>9</v>
      </c>
      <c r="E8" s="69" t="s">
        <v>35</v>
      </c>
      <c r="F8" s="69" t="s">
        <v>32</v>
      </c>
      <c r="G8" s="69"/>
      <c r="H8" s="69" t="s">
        <v>33</v>
      </c>
      <c r="I8" s="83"/>
      <c r="J8" s="69"/>
      <c r="K8" s="69"/>
      <c r="L8" s="69"/>
      <c r="M8" s="69"/>
    </row>
    <row r="9" spans="1:13" x14ac:dyDescent="0.3">
      <c r="A9" s="67">
        <v>45543</v>
      </c>
      <c r="B9" s="68" t="s">
        <v>12</v>
      </c>
      <c r="C9" s="69" t="s">
        <v>22</v>
      </c>
      <c r="D9" s="69" t="s">
        <v>9</v>
      </c>
      <c r="E9" s="69" t="s">
        <v>35</v>
      </c>
      <c r="F9" s="69" t="s">
        <v>32</v>
      </c>
      <c r="G9" s="69" t="s">
        <v>36</v>
      </c>
      <c r="H9" s="69" t="s">
        <v>33</v>
      </c>
      <c r="I9" s="83"/>
      <c r="J9" s="69"/>
      <c r="K9" s="69"/>
      <c r="L9" s="69"/>
      <c r="M9" s="69"/>
    </row>
    <row r="10" spans="1:13" ht="34.799999999999997" x14ac:dyDescent="0.3">
      <c r="A10" s="67">
        <v>45683</v>
      </c>
      <c r="B10" s="68" t="s">
        <v>13</v>
      </c>
      <c r="C10" s="70" t="s">
        <v>23</v>
      </c>
      <c r="D10" s="69" t="s">
        <v>9</v>
      </c>
      <c r="E10" s="69" t="s">
        <v>86</v>
      </c>
      <c r="F10" s="69" t="s">
        <v>86</v>
      </c>
      <c r="G10" s="69" t="s">
        <v>40</v>
      </c>
      <c r="H10" s="69" t="s">
        <v>33</v>
      </c>
      <c r="I10" s="83"/>
      <c r="J10" s="69"/>
      <c r="K10" s="69"/>
      <c r="L10" s="69"/>
      <c r="M10" s="69"/>
    </row>
    <row r="11" spans="1:13" ht="34.799999999999997" x14ac:dyDescent="0.3">
      <c r="A11" s="67">
        <v>45684</v>
      </c>
      <c r="B11" s="68" t="s">
        <v>14</v>
      </c>
      <c r="C11" s="70" t="s">
        <v>23</v>
      </c>
      <c r="D11" s="69" t="s">
        <v>9</v>
      </c>
      <c r="E11" s="69" t="s">
        <v>86</v>
      </c>
      <c r="F11" s="69" t="s">
        <v>86</v>
      </c>
      <c r="G11" s="69" t="s">
        <v>41</v>
      </c>
      <c r="H11" s="69" t="s">
        <v>33</v>
      </c>
      <c r="I11" s="83"/>
      <c r="J11" s="69"/>
      <c r="K11" s="69"/>
      <c r="L11" s="69"/>
      <c r="M11" s="69"/>
    </row>
    <row r="12" spans="1:13" x14ac:dyDescent="0.3">
      <c r="A12" s="67">
        <v>45768</v>
      </c>
      <c r="B12" s="68" t="s">
        <v>24</v>
      </c>
      <c r="C12" s="69" t="s">
        <v>15</v>
      </c>
      <c r="D12" s="69" t="s">
        <v>9</v>
      </c>
      <c r="E12" s="69" t="s">
        <v>86</v>
      </c>
      <c r="F12" s="69" t="s">
        <v>86</v>
      </c>
      <c r="G12" s="69" t="s">
        <v>42</v>
      </c>
      <c r="H12" s="69" t="s">
        <v>33</v>
      </c>
      <c r="I12" s="83"/>
      <c r="J12" s="69"/>
      <c r="K12" s="69"/>
      <c r="L12" s="69"/>
      <c r="M12" s="69"/>
    </row>
    <row r="13" spans="1:13" x14ac:dyDescent="0.3">
      <c r="A13" s="67"/>
      <c r="B13" s="68"/>
      <c r="C13" s="69"/>
      <c r="D13" s="69"/>
      <c r="E13" s="69"/>
      <c r="F13" s="69"/>
      <c r="G13" s="69"/>
      <c r="H13" s="69"/>
      <c r="I13" s="83"/>
      <c r="J13" s="69"/>
      <c r="K13" s="69"/>
      <c r="L13" s="69"/>
      <c r="M13" s="69"/>
    </row>
    <row r="14" spans="1:13" s="35" customFormat="1" x14ac:dyDescent="0.3">
      <c r="A14" s="28" t="s">
        <v>19</v>
      </c>
      <c r="B14" s="58" t="s">
        <v>46</v>
      </c>
      <c r="C14" s="29" t="s">
        <v>18</v>
      </c>
      <c r="D14" s="29" t="s">
        <v>19</v>
      </c>
      <c r="E14" s="29" t="s">
        <v>45</v>
      </c>
      <c r="F14" s="29" t="s">
        <v>53</v>
      </c>
      <c r="G14" s="29"/>
      <c r="H14" s="29" t="s">
        <v>50</v>
      </c>
      <c r="I14" s="83"/>
      <c r="J14" s="29"/>
      <c r="K14" s="29"/>
      <c r="L14" s="29"/>
      <c r="M14" s="29"/>
    </row>
    <row r="15" spans="1:13" s="35" customFormat="1" x14ac:dyDescent="0.3">
      <c r="A15" s="28" t="s">
        <v>19</v>
      </c>
      <c r="B15" s="58" t="s">
        <v>52</v>
      </c>
      <c r="C15" s="29" t="s">
        <v>20</v>
      </c>
      <c r="D15" s="29" t="s">
        <v>19</v>
      </c>
      <c r="E15" s="29" t="s">
        <v>43</v>
      </c>
      <c r="F15" s="29" t="s">
        <v>44</v>
      </c>
      <c r="G15" s="29"/>
      <c r="H15" s="29" t="s">
        <v>50</v>
      </c>
      <c r="I15" s="83"/>
      <c r="J15" s="29"/>
      <c r="K15" s="29"/>
      <c r="L15" s="29"/>
      <c r="M15" s="29"/>
    </row>
    <row r="16" spans="1:13" s="35" customFormat="1" x14ac:dyDescent="0.3">
      <c r="A16" s="54"/>
      <c r="B16" s="57"/>
      <c r="C16" s="55"/>
      <c r="D16" s="55"/>
      <c r="E16" s="55"/>
      <c r="F16" s="55"/>
      <c r="G16" s="55"/>
      <c r="H16" s="55"/>
      <c r="I16" s="53"/>
      <c r="J16" s="55"/>
      <c r="K16" s="55"/>
      <c r="L16" s="55"/>
      <c r="M16" s="55"/>
    </row>
    <row r="17" spans="1:13" s="35" customFormat="1" x14ac:dyDescent="0.3">
      <c r="A17" s="54"/>
      <c r="B17" s="57"/>
      <c r="C17" s="55"/>
      <c r="D17" s="55"/>
      <c r="E17" s="55"/>
      <c r="F17" s="55"/>
      <c r="G17" s="55"/>
      <c r="H17" s="55"/>
      <c r="I17" s="53"/>
      <c r="J17" s="55"/>
      <c r="K17" s="55"/>
      <c r="L17" s="55"/>
      <c r="M17" s="55"/>
    </row>
    <row r="18" spans="1:13" s="35" customFormat="1" x14ac:dyDescent="0.3">
      <c r="A18" s="54"/>
      <c r="B18" s="57"/>
      <c r="C18" s="55"/>
      <c r="D18" s="55"/>
      <c r="E18" s="55"/>
      <c r="F18" s="55"/>
      <c r="G18" s="55"/>
      <c r="H18" s="55"/>
      <c r="I18" s="53"/>
      <c r="J18" s="55"/>
      <c r="K18" s="55"/>
      <c r="L18" s="55"/>
      <c r="M18" s="55"/>
    </row>
    <row r="19" spans="1:13" s="35" customFormat="1" x14ac:dyDescent="0.3">
      <c r="A19" s="54"/>
      <c r="B19" s="57"/>
      <c r="C19" s="55"/>
      <c r="D19" s="55"/>
      <c r="E19" s="55"/>
      <c r="F19" s="55"/>
      <c r="G19" s="55"/>
      <c r="H19" s="55"/>
      <c r="I19" s="53"/>
      <c r="J19" s="55"/>
      <c r="K19" s="55"/>
      <c r="L19" s="55"/>
      <c r="M19" s="55"/>
    </row>
    <row r="20" spans="1:13" s="35" customFormat="1" x14ac:dyDescent="0.3">
      <c r="A20" s="54"/>
      <c r="B20" s="57"/>
      <c r="C20" s="55"/>
      <c r="D20" s="55"/>
      <c r="E20" s="55"/>
      <c r="F20" s="55"/>
      <c r="G20" s="55"/>
      <c r="H20" s="55"/>
      <c r="I20" s="53"/>
      <c r="J20" s="55"/>
      <c r="K20" s="55"/>
      <c r="L20" s="55"/>
      <c r="M20" s="55"/>
    </row>
    <row r="21" spans="1:13" s="35" customFormat="1" x14ac:dyDescent="0.3">
      <c r="A21" s="54"/>
      <c r="B21" s="57"/>
      <c r="C21" s="55"/>
      <c r="D21" s="55"/>
      <c r="E21" s="55"/>
      <c r="F21" s="55"/>
      <c r="G21" s="55"/>
      <c r="H21" s="55"/>
      <c r="I21" s="53"/>
      <c r="J21" s="55"/>
      <c r="K21" s="55"/>
      <c r="L21" s="55"/>
      <c r="M21" s="55"/>
    </row>
    <row r="22" spans="1:13" s="35" customFormat="1" x14ac:dyDescent="0.3">
      <c r="A22" s="54"/>
      <c r="B22" s="57"/>
      <c r="C22" s="55"/>
      <c r="D22" s="55"/>
      <c r="E22" s="55"/>
      <c r="F22" s="55"/>
      <c r="G22" s="55"/>
      <c r="H22" s="55"/>
      <c r="I22" s="53"/>
      <c r="J22" s="55"/>
      <c r="K22" s="55"/>
      <c r="L22" s="55"/>
      <c r="M22" s="55"/>
    </row>
    <row r="23" spans="1:13" s="35" customFormat="1" x14ac:dyDescent="0.3">
      <c r="A23" s="54"/>
      <c r="B23" s="57"/>
      <c r="C23" s="55"/>
      <c r="D23" s="55"/>
      <c r="E23" s="55"/>
      <c r="F23" s="55"/>
      <c r="G23" s="55"/>
      <c r="H23" s="55"/>
      <c r="I23" s="53"/>
      <c r="J23" s="55"/>
      <c r="K23" s="55"/>
      <c r="L23" s="55"/>
      <c r="M23" s="55"/>
    </row>
    <row r="24" spans="1:13" s="35" customFormat="1" x14ac:dyDescent="0.3">
      <c r="A24" s="54"/>
      <c r="B24" s="57"/>
      <c r="C24" s="55"/>
      <c r="D24" s="55"/>
      <c r="E24" s="55"/>
      <c r="F24" s="55"/>
      <c r="G24" s="55"/>
      <c r="H24" s="55"/>
      <c r="I24" s="53"/>
      <c r="J24" s="55"/>
      <c r="K24" s="55"/>
      <c r="L24" s="55"/>
      <c r="M24" s="55"/>
    </row>
    <row r="25" spans="1:13" s="35" customFormat="1" x14ac:dyDescent="0.3">
      <c r="A25" s="54"/>
      <c r="B25" s="57"/>
      <c r="C25" s="55"/>
      <c r="D25" s="55"/>
      <c r="E25" s="55"/>
      <c r="F25" s="55"/>
      <c r="G25" s="55"/>
      <c r="H25" s="55"/>
      <c r="I25" s="53"/>
      <c r="J25" s="55"/>
      <c r="K25" s="55"/>
      <c r="L25" s="55"/>
      <c r="M25" s="55"/>
    </row>
    <row r="26" spans="1:13" x14ac:dyDescent="0.3">
      <c r="A26" s="54"/>
      <c r="B26" s="57"/>
      <c r="C26" s="55"/>
      <c r="D26" s="55"/>
      <c r="E26" s="55"/>
      <c r="F26" s="55"/>
      <c r="G26" s="55"/>
      <c r="H26" s="55"/>
      <c r="I26" s="53"/>
      <c r="J26" s="55"/>
      <c r="K26" s="55"/>
      <c r="L26" s="55"/>
      <c r="M26" s="55"/>
    </row>
    <row r="27" spans="1:13" x14ac:dyDescent="0.3">
      <c r="A27" s="54"/>
      <c r="B27" s="57"/>
      <c r="C27" s="55"/>
      <c r="D27" s="55"/>
      <c r="E27" s="55"/>
      <c r="F27" s="55"/>
      <c r="G27" s="55"/>
      <c r="H27" s="55"/>
      <c r="I27" s="53"/>
      <c r="J27" s="55"/>
      <c r="K27" s="55"/>
      <c r="L27" s="55"/>
      <c r="M27" s="55"/>
    </row>
    <row r="29" spans="1:13" ht="18" thickBot="1" x14ac:dyDescent="0.35"/>
    <row r="30" spans="1:13" ht="25.8" thickTop="1" thickBot="1" x14ac:dyDescent="0.35">
      <c r="F30" s="73"/>
      <c r="G30" s="36" t="s">
        <v>83</v>
      </c>
      <c r="H30" s="62">
        <f>SUMIF(D2:D912,"مدفوع",I2:I912)-748000</f>
        <v>-748000</v>
      </c>
    </row>
    <row r="31" spans="1:13" ht="25.8" thickTop="1" thickBot="1" x14ac:dyDescent="0.35">
      <c r="E31" s="65"/>
      <c r="F31" s="73"/>
      <c r="G31" s="37" t="s">
        <v>82</v>
      </c>
      <c r="H31" s="63">
        <f>SUMIF(D2:D912,"مستقبلي",I2:I912)</f>
        <v>0</v>
      </c>
    </row>
    <row r="32" spans="1:13" ht="25.8" thickTop="1" thickBot="1" x14ac:dyDescent="0.35">
      <c r="E32" s="65"/>
      <c r="F32" s="73"/>
      <c r="G32" s="38" t="s">
        <v>81</v>
      </c>
      <c r="H32" s="64">
        <f>SUMIF(D2:D912,"مدفوع",I2:I912)</f>
        <v>0</v>
      </c>
    </row>
    <row r="33" spans="5:8" ht="18" thickTop="1" x14ac:dyDescent="0.3">
      <c r="E33" s="65"/>
    </row>
    <row r="34" spans="5:8" x14ac:dyDescent="0.3">
      <c r="E34" s="65"/>
    </row>
    <row r="36" spans="5:8" x14ac:dyDescent="0.3">
      <c r="E36" s="66"/>
      <c r="H36" s="61"/>
    </row>
  </sheetData>
  <mergeCells count="1">
    <mergeCell ref="A2:M2"/>
  </mergeCells>
  <dataValidations count="1">
    <dataValidation type="list" allowBlank="1" showInputMessage="1" showErrorMessage="1" sqref="D5:D27" xr:uid="{8DD4A2C2-2D88-4DA6-AAB9-88AA2C531F27}">
      <formula1>$D$5:$D$27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opLeftCell="A28" zoomScaleNormal="100" workbookViewId="0">
      <selection activeCell="C40" sqref="C40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bestFit="1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55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64</v>
      </c>
      <c r="C5" s="18" t="s">
        <v>63</v>
      </c>
      <c r="D5" s="19" t="s">
        <v>4</v>
      </c>
      <c r="E5" s="19" t="s">
        <v>57</v>
      </c>
      <c r="F5" s="19" t="s">
        <v>58</v>
      </c>
      <c r="G5" s="18" t="s">
        <v>6</v>
      </c>
      <c r="H5" s="20" t="s">
        <v>7</v>
      </c>
      <c r="I5" s="18" t="s">
        <v>95</v>
      </c>
    </row>
    <row r="6" spans="1:11" x14ac:dyDescent="0.4">
      <c r="A6" s="41">
        <v>46042</v>
      </c>
      <c r="B6" s="42" t="s">
        <v>60</v>
      </c>
      <c r="C6" s="42" t="s">
        <v>60</v>
      </c>
      <c r="D6" s="42" t="s">
        <v>60</v>
      </c>
      <c r="E6" s="42">
        <v>289.75</v>
      </c>
      <c r="F6" s="42">
        <v>200</v>
      </c>
      <c r="G6" s="43">
        <f>Table83[[#This Row],[سعر المتر]]*Table83[[#This Row],[الكمية]]</f>
        <v>57950</v>
      </c>
      <c r="H6" s="44" t="s">
        <v>59</v>
      </c>
      <c r="J6" s="2" t="s">
        <v>67</v>
      </c>
      <c r="K6" s="50"/>
    </row>
    <row r="7" spans="1:11" ht="39.6" x14ac:dyDescent="0.4">
      <c r="A7" s="45">
        <v>46042</v>
      </c>
      <c r="B7" s="46" t="s">
        <v>54</v>
      </c>
      <c r="C7" s="46" t="s">
        <v>61</v>
      </c>
      <c r="D7" s="50" t="s">
        <v>67</v>
      </c>
      <c r="E7" s="47">
        <v>289.75</v>
      </c>
      <c r="F7" s="47">
        <v>-178</v>
      </c>
      <c r="G7" s="48">
        <f>Table83[[#This Row],[سعر المتر]]*Table83[[#This Row],[الكمية]]</f>
        <v>-51575.5</v>
      </c>
      <c r="H7" s="49" t="s">
        <v>59</v>
      </c>
      <c r="J7" s="2" t="s">
        <v>66</v>
      </c>
      <c r="K7" s="51"/>
    </row>
    <row r="8" spans="1:11" ht="39.6" x14ac:dyDescent="0.4">
      <c r="A8" s="45">
        <v>46054</v>
      </c>
      <c r="B8" s="46" t="s">
        <v>70</v>
      </c>
      <c r="C8" s="46" t="s">
        <v>62</v>
      </c>
      <c r="D8" s="50" t="s">
        <v>67</v>
      </c>
      <c r="E8" s="47">
        <v>289.75</v>
      </c>
      <c r="F8" s="47">
        <v>-15</v>
      </c>
      <c r="G8" s="48">
        <f>Table83[[#This Row],[سعر المتر]]*Table83[[#This Row],[الكمية]]</f>
        <v>-4346.25</v>
      </c>
      <c r="H8" s="49" t="s">
        <v>59</v>
      </c>
    </row>
    <row r="9" spans="1:11" x14ac:dyDescent="0.4">
      <c r="A9" s="41">
        <v>46055</v>
      </c>
      <c r="B9" s="42" t="s">
        <v>60</v>
      </c>
      <c r="C9" s="42" t="s">
        <v>60</v>
      </c>
      <c r="D9" s="42" t="s">
        <v>60</v>
      </c>
      <c r="E9" s="42">
        <v>289.75</v>
      </c>
      <c r="F9" s="42">
        <v>10</v>
      </c>
      <c r="G9" s="43">
        <f>Table83[[#This Row],[سعر المتر]]*Table83[[#This Row],[الكمية]]</f>
        <v>2897.5</v>
      </c>
      <c r="H9" s="44" t="s">
        <v>59</v>
      </c>
      <c r="J9" s="2" t="s">
        <v>67</v>
      </c>
      <c r="K9" s="50"/>
    </row>
    <row r="10" spans="1:11" ht="39.6" x14ac:dyDescent="0.4">
      <c r="A10" s="45">
        <v>46055</v>
      </c>
      <c r="B10" s="46" t="s">
        <v>65</v>
      </c>
      <c r="C10" s="46" t="s">
        <v>71</v>
      </c>
      <c r="D10" s="50" t="s">
        <v>67</v>
      </c>
      <c r="E10" s="47">
        <v>289.75</v>
      </c>
      <c r="F10" s="47">
        <v>-8</v>
      </c>
      <c r="G10" s="48">
        <f>Table83[[#This Row],[سعر المتر]]*Table83[[#This Row],[الكمية]]</f>
        <v>-2318</v>
      </c>
      <c r="H10" s="49" t="s">
        <v>59</v>
      </c>
    </row>
    <row r="11" spans="1:11" x14ac:dyDescent="0.4">
      <c r="A11" s="41">
        <v>46064</v>
      </c>
      <c r="B11" s="42" t="s">
        <v>60</v>
      </c>
      <c r="C11" s="42" t="s">
        <v>60</v>
      </c>
      <c r="D11" s="42" t="s">
        <v>60</v>
      </c>
      <c r="E11" s="42">
        <v>289.75</v>
      </c>
      <c r="F11" s="42">
        <v>15</v>
      </c>
      <c r="G11" s="43">
        <f>Table83[[#This Row],[سعر المتر]]*Table83[[#This Row],[الكمية]]</f>
        <v>4346.25</v>
      </c>
      <c r="H11" s="44" t="s">
        <v>59</v>
      </c>
    </row>
    <row r="12" spans="1:11" ht="39.6" x14ac:dyDescent="0.4">
      <c r="A12" s="45">
        <v>46064</v>
      </c>
      <c r="B12" s="46" t="s">
        <v>72</v>
      </c>
      <c r="C12" s="46" t="s">
        <v>73</v>
      </c>
      <c r="D12" s="50" t="s">
        <v>67</v>
      </c>
      <c r="E12" s="47">
        <v>289.75</v>
      </c>
      <c r="F12" s="47">
        <v>-18</v>
      </c>
      <c r="G12" s="48">
        <f>Table83[[#This Row],[سعر المتر]]*Table83[[#This Row],[الكمية]]</f>
        <v>-5215.5</v>
      </c>
      <c r="H12" s="49" t="s">
        <v>59</v>
      </c>
    </row>
    <row r="13" spans="1:11" x14ac:dyDescent="0.4">
      <c r="A13" s="41">
        <v>46075</v>
      </c>
      <c r="B13" s="42" t="s">
        <v>60</v>
      </c>
      <c r="C13" s="42" t="s">
        <v>60</v>
      </c>
      <c r="D13" s="42" t="s">
        <v>60</v>
      </c>
      <c r="E13" s="42">
        <v>289.75</v>
      </c>
      <c r="F13" s="42">
        <v>30</v>
      </c>
      <c r="G13" s="43">
        <f>Table83[[#This Row],[سعر المتر]]*Table83[[#This Row],[الكمية]]</f>
        <v>8692.5</v>
      </c>
      <c r="H13" s="44" t="s">
        <v>59</v>
      </c>
    </row>
    <row r="14" spans="1:11" x14ac:dyDescent="0.4">
      <c r="A14" s="41">
        <v>46077</v>
      </c>
      <c r="B14" s="42" t="s">
        <v>60</v>
      </c>
      <c r="C14" s="42" t="s">
        <v>60</v>
      </c>
      <c r="D14" s="42" t="s">
        <v>60</v>
      </c>
      <c r="E14" s="42">
        <v>289.75</v>
      </c>
      <c r="F14" s="42">
        <v>20</v>
      </c>
      <c r="G14" s="43">
        <f>Table83[[#This Row],[سعر المتر]]*Table83[[#This Row],[الكمية]]</f>
        <v>5795</v>
      </c>
      <c r="H14" s="44" t="s">
        <v>59</v>
      </c>
    </row>
    <row r="15" spans="1:11" ht="39.6" x14ac:dyDescent="0.4">
      <c r="A15" s="45">
        <v>46077</v>
      </c>
      <c r="B15" s="46" t="s">
        <v>74</v>
      </c>
      <c r="C15" s="46" t="s">
        <v>75</v>
      </c>
      <c r="D15" s="50" t="s">
        <v>67</v>
      </c>
      <c r="E15" s="47">
        <v>289.75</v>
      </c>
      <c r="F15" s="47">
        <v>-45</v>
      </c>
      <c r="G15" s="48">
        <f>Table83[[#This Row],[سعر المتر]]*Table83[[#This Row],[الكمية]]</f>
        <v>-13038.75</v>
      </c>
      <c r="H15" s="49" t="s">
        <v>59</v>
      </c>
    </row>
    <row r="16" spans="1:11" x14ac:dyDescent="0.4">
      <c r="A16" s="41">
        <v>46096</v>
      </c>
      <c r="B16" s="42" t="s">
        <v>60</v>
      </c>
      <c r="C16" s="42" t="s">
        <v>60</v>
      </c>
      <c r="D16" s="42" t="s">
        <v>60</v>
      </c>
      <c r="E16" s="42">
        <v>289.75</v>
      </c>
      <c r="F16" s="42">
        <v>18</v>
      </c>
      <c r="G16" s="43">
        <f>Table83[[#This Row],[سعر المتر]]*Table83[[#This Row],[الكمية]]</f>
        <v>5215.5</v>
      </c>
      <c r="H16" s="44" t="s">
        <v>59</v>
      </c>
    </row>
    <row r="17" spans="1:8" ht="39.6" x14ac:dyDescent="0.4">
      <c r="A17" s="45">
        <v>46099</v>
      </c>
      <c r="B17" s="46" t="s">
        <v>77</v>
      </c>
      <c r="C17" s="46" t="s">
        <v>78</v>
      </c>
      <c r="D17" s="50" t="s">
        <v>67</v>
      </c>
      <c r="E17" s="47">
        <v>289.75</v>
      </c>
      <c r="F17" s="47">
        <v>-28</v>
      </c>
      <c r="G17" s="48">
        <f>Table83[[#This Row],[سعر المتر]]*Table83[[#This Row],[الكمية]]</f>
        <v>-8113</v>
      </c>
      <c r="H17" s="49" t="s">
        <v>59</v>
      </c>
    </row>
    <row r="18" spans="1:8" x14ac:dyDescent="0.4">
      <c r="A18" s="41">
        <v>46116</v>
      </c>
      <c r="B18" s="42" t="s">
        <v>60</v>
      </c>
      <c r="C18" s="42" t="s">
        <v>60</v>
      </c>
      <c r="D18" s="42" t="s">
        <v>60</v>
      </c>
      <c r="E18" s="42">
        <v>289.75</v>
      </c>
      <c r="F18" s="42">
        <v>20</v>
      </c>
      <c r="G18" s="43">
        <f>Table83[[#This Row],[سعر المتر]]*Table83[[#This Row],[الكمية]]</f>
        <v>5795</v>
      </c>
      <c r="H18" s="44" t="s">
        <v>59</v>
      </c>
    </row>
    <row r="19" spans="1:8" ht="39.6" x14ac:dyDescent="0.4">
      <c r="A19" s="45">
        <v>46120</v>
      </c>
      <c r="B19" s="46" t="s">
        <v>80</v>
      </c>
      <c r="C19" s="46" t="s">
        <v>73</v>
      </c>
      <c r="D19" s="50" t="s">
        <v>67</v>
      </c>
      <c r="E19" s="47">
        <v>289.75</v>
      </c>
      <c r="F19" s="47">
        <v>-18</v>
      </c>
      <c r="G19" s="48">
        <f>Table83[[#This Row],[سعر المتر]]*Table83[[#This Row],[الكمية]]</f>
        <v>-5215.5</v>
      </c>
      <c r="H19" s="49" t="s">
        <v>59</v>
      </c>
    </row>
    <row r="20" spans="1:8" x14ac:dyDescent="0.4">
      <c r="A20" s="41">
        <v>46144</v>
      </c>
      <c r="B20" s="42" t="s">
        <v>60</v>
      </c>
      <c r="C20" s="42" t="s">
        <v>60</v>
      </c>
      <c r="D20" s="42" t="s">
        <v>60</v>
      </c>
      <c r="E20" s="42">
        <v>289.75</v>
      </c>
      <c r="F20" s="42">
        <v>12</v>
      </c>
      <c r="G20" s="43">
        <f>Table83[[#This Row],[سعر المتر]]*Table83[[#This Row],[الكمية]]</f>
        <v>3477</v>
      </c>
      <c r="H20" s="44" t="s">
        <v>59</v>
      </c>
    </row>
    <row r="21" spans="1:8" ht="39.6" x14ac:dyDescent="0.4">
      <c r="A21" s="45">
        <v>46145</v>
      </c>
      <c r="B21" s="46" t="s">
        <v>87</v>
      </c>
      <c r="C21" s="46" t="s">
        <v>88</v>
      </c>
      <c r="D21" s="50" t="s">
        <v>67</v>
      </c>
      <c r="E21" s="47">
        <v>289.75</v>
      </c>
      <c r="F21" s="47">
        <v>-10</v>
      </c>
      <c r="G21" s="48">
        <f>Table83[[#This Row],[سعر المتر]]*Table83[[#This Row],[الكمية]]</f>
        <v>-2897.5</v>
      </c>
      <c r="H21" s="49" t="s">
        <v>59</v>
      </c>
    </row>
    <row r="22" spans="1:8" x14ac:dyDescent="0.4">
      <c r="A22" s="41">
        <v>46151</v>
      </c>
      <c r="B22" s="42" t="s">
        <v>60</v>
      </c>
      <c r="C22" s="42" t="s">
        <v>60</v>
      </c>
      <c r="D22" s="42" t="s">
        <v>60</v>
      </c>
      <c r="E22" s="42">
        <v>289.75</v>
      </c>
      <c r="F22" s="42">
        <v>10</v>
      </c>
      <c r="G22" s="43">
        <f>Table83[[#This Row],[سعر المتر]]*Table83[[#This Row],[الكمية]]</f>
        <v>2897.5</v>
      </c>
      <c r="H22" s="44" t="s">
        <v>59</v>
      </c>
    </row>
    <row r="23" spans="1:8" ht="39.6" x14ac:dyDescent="0.4">
      <c r="A23" s="45">
        <v>46152</v>
      </c>
      <c r="B23" s="46" t="s">
        <v>87</v>
      </c>
      <c r="C23" s="46" t="s">
        <v>89</v>
      </c>
      <c r="D23" s="50" t="s">
        <v>67</v>
      </c>
      <c r="E23" s="47">
        <v>289.75</v>
      </c>
      <c r="F23" s="47">
        <v>-6</v>
      </c>
      <c r="G23" s="48">
        <f>Table83[[#This Row],[سعر المتر]]*Table83[[#This Row],[الكمية]]</f>
        <v>-1738.5</v>
      </c>
      <c r="H23" s="49" t="s">
        <v>59</v>
      </c>
    </row>
    <row r="24" spans="1:8" x14ac:dyDescent="0.4">
      <c r="A24" s="41">
        <v>46180</v>
      </c>
      <c r="B24" s="42" t="s">
        <v>60</v>
      </c>
      <c r="C24" s="42" t="s">
        <v>60</v>
      </c>
      <c r="D24" s="42" t="s">
        <v>60</v>
      </c>
      <c r="E24" s="42">
        <v>289.75</v>
      </c>
      <c r="F24" s="42">
        <v>36</v>
      </c>
      <c r="G24" s="43">
        <f>Table83[[#This Row],[سعر المتر]]*Table83[[#This Row],[الكمية]]</f>
        <v>10431</v>
      </c>
      <c r="H24" s="44" t="s">
        <v>59</v>
      </c>
    </row>
    <row r="25" spans="1:8" x14ac:dyDescent="0.4">
      <c r="A25" s="41">
        <v>46180</v>
      </c>
      <c r="B25" s="42" t="s">
        <v>60</v>
      </c>
      <c r="C25" s="42" t="s">
        <v>60</v>
      </c>
      <c r="D25" s="42" t="s">
        <v>60</v>
      </c>
      <c r="E25" s="42">
        <v>289.75</v>
      </c>
      <c r="F25" s="42">
        <v>55</v>
      </c>
      <c r="G25" s="43">
        <f>Table83[[#This Row],[سعر المتر]]*Table83[[#This Row],[الكمية]]</f>
        <v>15936.25</v>
      </c>
      <c r="H25" s="44" t="s">
        <v>59</v>
      </c>
    </row>
    <row r="26" spans="1:8" ht="39.6" x14ac:dyDescent="0.4">
      <c r="A26" s="45">
        <v>46181</v>
      </c>
      <c r="B26" s="46" t="s">
        <v>96</v>
      </c>
      <c r="C26" s="46" t="s">
        <v>97</v>
      </c>
      <c r="D26" s="50" t="s">
        <v>67</v>
      </c>
      <c r="E26" s="47">
        <v>289.75</v>
      </c>
      <c r="F26" s="47">
        <v>-96</v>
      </c>
      <c r="G26" s="48">
        <f>Table83[[#This Row],[سعر المتر]]*Table83[[#This Row],[الكمية]]</f>
        <v>-27816</v>
      </c>
      <c r="H26" s="49" t="s">
        <v>59</v>
      </c>
    </row>
    <row r="27" spans="1:8" ht="59.4" x14ac:dyDescent="0.4">
      <c r="A27" s="45">
        <v>46181</v>
      </c>
      <c r="B27" s="46" t="s">
        <v>98</v>
      </c>
      <c r="C27" s="46" t="s">
        <v>97</v>
      </c>
      <c r="D27" s="50" t="s">
        <v>67</v>
      </c>
      <c r="E27" s="47">
        <v>5.75</v>
      </c>
      <c r="F27" s="47">
        <v>-96</v>
      </c>
      <c r="G27" s="48">
        <f>Table83[[#This Row],[سعر المتر]]*Table83[[#This Row],[الكمية]]</f>
        <v>-552</v>
      </c>
      <c r="H27" s="49" t="s">
        <v>59</v>
      </c>
    </row>
    <row r="28" spans="1:8" x14ac:dyDescent="0.4">
      <c r="A28" s="41">
        <v>46180</v>
      </c>
      <c r="B28" s="42" t="s">
        <v>60</v>
      </c>
      <c r="C28" s="42" t="s">
        <v>60</v>
      </c>
      <c r="D28" s="42" t="s">
        <v>60</v>
      </c>
      <c r="E28" s="42">
        <v>289.75</v>
      </c>
      <c r="F28" s="42">
        <v>55</v>
      </c>
      <c r="G28" s="43">
        <v>262.25</v>
      </c>
      <c r="H28" s="44" t="s">
        <v>59</v>
      </c>
    </row>
    <row r="29" spans="1:8" x14ac:dyDescent="0.4">
      <c r="A29" s="41">
        <v>46190</v>
      </c>
      <c r="B29" s="42" t="s">
        <v>60</v>
      </c>
      <c r="C29" s="42" t="s">
        <v>60</v>
      </c>
      <c r="D29" s="42" t="s">
        <v>60</v>
      </c>
      <c r="E29" s="42">
        <v>289.75</v>
      </c>
      <c r="F29" s="42">
        <v>15</v>
      </c>
      <c r="G29" s="43">
        <f>Table83[[#This Row],[سعر المتر]]*Table83[[#This Row],[الكمية]]</f>
        <v>4346.25</v>
      </c>
      <c r="H29" s="44" t="s">
        <v>59</v>
      </c>
    </row>
    <row r="30" spans="1:8" ht="39.6" x14ac:dyDescent="0.4">
      <c r="A30" s="45">
        <v>46181</v>
      </c>
      <c r="B30" s="46" t="s">
        <v>99</v>
      </c>
      <c r="C30" s="14" t="s">
        <v>103</v>
      </c>
      <c r="D30" s="50" t="s">
        <v>67</v>
      </c>
      <c r="E30" s="47">
        <v>289.75</v>
      </c>
      <c r="F30" s="1">
        <v>-15</v>
      </c>
      <c r="G30" s="48">
        <f>Table83[[#This Row],[سعر المتر]]*Table83[[#This Row],[الكمية]]</f>
        <v>-4346.25</v>
      </c>
      <c r="H30" s="49" t="s">
        <v>59</v>
      </c>
    </row>
    <row r="31" spans="1:8" ht="39.6" x14ac:dyDescent="0.4">
      <c r="A31" s="45">
        <v>46181</v>
      </c>
      <c r="B31" s="46" t="s">
        <v>100</v>
      </c>
      <c r="C31" s="14" t="s">
        <v>103</v>
      </c>
      <c r="D31" s="50" t="s">
        <v>67</v>
      </c>
      <c r="E31" s="47">
        <v>5.75</v>
      </c>
      <c r="F31" s="1">
        <v>-15</v>
      </c>
      <c r="G31" s="48">
        <f>Table83[[#This Row],[سعر المتر]]*Table83[[#This Row],[الكمية]]</f>
        <v>-86.25</v>
      </c>
      <c r="H31" s="49" t="s">
        <v>59</v>
      </c>
    </row>
    <row r="32" spans="1:8" x14ac:dyDescent="0.4">
      <c r="A32" s="15"/>
      <c r="B32" s="42"/>
      <c r="C32" s="76"/>
      <c r="D32" s="8"/>
      <c r="E32" s="32"/>
      <c r="F32" s="8"/>
      <c r="G32" s="43">
        <f>Table83[[#This Row],[سعر المتر]]*Table83[[#This Row],[الكمية]]</f>
        <v>0</v>
      </c>
      <c r="H32" s="16"/>
    </row>
    <row r="33" spans="1:12" x14ac:dyDescent="0.4">
      <c r="A33" s="15"/>
      <c r="B33" s="42"/>
      <c r="C33" s="76"/>
      <c r="D33" s="8"/>
      <c r="E33" s="32"/>
      <c r="F33" s="8"/>
      <c r="G33" s="43">
        <f>Table83[[#This Row],[سعر المتر]]*Table83[[#This Row],[الكمية]]</f>
        <v>0</v>
      </c>
      <c r="H33" s="16"/>
    </row>
    <row r="34" spans="1:12" x14ac:dyDescent="0.4">
      <c r="A34" s="15"/>
      <c r="B34" s="42"/>
      <c r="C34" s="31"/>
      <c r="D34" s="1"/>
      <c r="E34" s="31"/>
      <c r="F34" s="1"/>
      <c r="G34" s="75">
        <f>Table83[[#This Row],[سعر المتر]]*Table83[[#This Row],[الكمية]]</f>
        <v>0</v>
      </c>
      <c r="H34" s="16"/>
    </row>
    <row r="35" spans="1:12" x14ac:dyDescent="0.4">
      <c r="A35" s="15"/>
      <c r="B35" s="14"/>
      <c r="C35" s="74"/>
      <c r="D35" s="1"/>
      <c r="E35" s="31"/>
      <c r="F35" s="1"/>
      <c r="G35" s="75">
        <f>Table83[[#This Row],[سعر المتر]]*Table83[[#This Row],[الكمية]]</f>
        <v>0</v>
      </c>
      <c r="H35" s="16"/>
    </row>
    <row r="36" spans="1:12" x14ac:dyDescent="0.4">
      <c r="A36" s="30"/>
      <c r="B36" s="31"/>
      <c r="C36" s="31"/>
      <c r="D36" s="32"/>
      <c r="E36" s="32"/>
      <c r="F36" s="32"/>
      <c r="G36" s="40">
        <f>Table83[[#This Row],[سعر المتر]]*Table83[[#This Row],[الكمية]]</f>
        <v>0</v>
      </c>
      <c r="H36" s="34"/>
    </row>
    <row r="37" spans="1:12" x14ac:dyDescent="0.4">
      <c r="J37" s="79"/>
      <c r="K37" s="79"/>
      <c r="L37" s="79"/>
    </row>
    <row r="38" spans="1:12" x14ac:dyDescent="0.4">
      <c r="F38" s="9" t="s">
        <v>56</v>
      </c>
      <c r="G38" s="39">
        <f>SUM(G6:G36)</f>
        <v>783</v>
      </c>
    </row>
    <row r="40" spans="1:12" x14ac:dyDescent="0.4">
      <c r="F40" s="9" t="s">
        <v>76</v>
      </c>
      <c r="G40" s="39">
        <f>G38/J48</f>
        <v>2.7023295944779981</v>
      </c>
    </row>
    <row r="42" spans="1:12" x14ac:dyDescent="0.4">
      <c r="J42" s="79"/>
      <c r="K42" s="79"/>
      <c r="L42" s="79"/>
    </row>
    <row r="46" spans="1:12" x14ac:dyDescent="0.4">
      <c r="J46" s="80" t="s">
        <v>101</v>
      </c>
      <c r="K46" s="80"/>
      <c r="L46" s="80"/>
    </row>
    <row r="47" spans="1:12" x14ac:dyDescent="0.4">
      <c r="J47" s="1" t="s">
        <v>68</v>
      </c>
      <c r="K47" s="1" t="s">
        <v>58</v>
      </c>
      <c r="L47" s="1" t="s">
        <v>6</v>
      </c>
    </row>
    <row r="48" spans="1:12" x14ac:dyDescent="0.4">
      <c r="J48" s="1">
        <v>289.75</v>
      </c>
      <c r="K48" s="1">
        <v>15</v>
      </c>
      <c r="L48" s="77">
        <f>J48*K48</f>
        <v>4346.25</v>
      </c>
    </row>
    <row r="51" spans="10:12" x14ac:dyDescent="0.4">
      <c r="J51" s="81" t="s">
        <v>102</v>
      </c>
      <c r="K51" s="81"/>
      <c r="L51" s="81"/>
    </row>
    <row r="52" spans="10:12" x14ac:dyDescent="0.4">
      <c r="J52" s="1" t="s">
        <v>68</v>
      </c>
      <c r="K52" s="1" t="s">
        <v>58</v>
      </c>
      <c r="L52" s="1" t="s">
        <v>6</v>
      </c>
    </row>
    <row r="53" spans="10:12" x14ac:dyDescent="0.4">
      <c r="J53" s="1">
        <v>5.75</v>
      </c>
      <c r="K53" s="1">
        <v>15</v>
      </c>
      <c r="L53" s="1">
        <f>J53*K53</f>
        <v>86.25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79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64</v>
      </c>
      <c r="C5" s="18" t="s">
        <v>63</v>
      </c>
      <c r="D5" s="19" t="s">
        <v>4</v>
      </c>
      <c r="E5" s="19" t="s">
        <v>6</v>
      </c>
      <c r="F5" s="20" t="s">
        <v>7</v>
      </c>
    </row>
    <row r="6" spans="1:9" x14ac:dyDescent="0.4">
      <c r="A6" s="41">
        <v>46109</v>
      </c>
      <c r="B6" s="42" t="s">
        <v>60</v>
      </c>
      <c r="C6" s="42" t="s">
        <v>60</v>
      </c>
      <c r="D6" s="42" t="s">
        <v>60</v>
      </c>
      <c r="E6" s="42">
        <v>-315</v>
      </c>
      <c r="F6" s="44" t="s">
        <v>59</v>
      </c>
      <c r="H6" s="2" t="s">
        <v>67</v>
      </c>
      <c r="I6" s="50"/>
    </row>
    <row r="7" spans="1:9" x14ac:dyDescent="0.4">
      <c r="A7" s="41">
        <v>46161</v>
      </c>
      <c r="B7" s="42" t="s">
        <v>60</v>
      </c>
      <c r="C7" s="42" t="s">
        <v>60</v>
      </c>
      <c r="D7" s="42" t="s">
        <v>60</v>
      </c>
      <c r="E7" s="42">
        <v>-43655</v>
      </c>
      <c r="F7" s="44" t="s">
        <v>59</v>
      </c>
      <c r="H7" s="2" t="s">
        <v>66</v>
      </c>
      <c r="I7" s="51"/>
    </row>
    <row r="8" spans="1:9" x14ac:dyDescent="0.4">
      <c r="A8" s="45">
        <v>46161</v>
      </c>
      <c r="B8" s="47" t="s">
        <v>67</v>
      </c>
      <c r="C8" s="47" t="s">
        <v>67</v>
      </c>
      <c r="D8" s="47" t="s">
        <v>67</v>
      </c>
      <c r="E8" s="47">
        <v>43970</v>
      </c>
      <c r="F8" s="49" t="s">
        <v>59</v>
      </c>
    </row>
    <row r="9" spans="1:9" x14ac:dyDescent="0.4">
      <c r="A9" s="59"/>
      <c r="B9" s="1"/>
      <c r="C9" s="1"/>
      <c r="D9" s="1"/>
      <c r="E9" s="1"/>
      <c r="F9" s="60"/>
      <c r="H9" s="2" t="s">
        <v>67</v>
      </c>
      <c r="I9" s="50"/>
    </row>
    <row r="10" spans="1:9" x14ac:dyDescent="0.4">
      <c r="A10" s="59"/>
      <c r="B10" s="14"/>
      <c r="C10" s="14"/>
      <c r="E10" s="1"/>
      <c r="F10" s="60"/>
    </row>
    <row r="11" spans="1:9" x14ac:dyDescent="0.4">
      <c r="A11" s="59"/>
      <c r="B11" s="1"/>
      <c r="C11" s="1"/>
      <c r="D11" s="1"/>
      <c r="E11" s="1"/>
      <c r="F11" s="60"/>
    </row>
    <row r="12" spans="1:9" x14ac:dyDescent="0.4">
      <c r="A12" s="59"/>
      <c r="B12" s="14"/>
      <c r="C12" s="14"/>
      <c r="E12" s="1"/>
      <c r="F12" s="60"/>
    </row>
    <row r="13" spans="1:9" x14ac:dyDescent="0.4">
      <c r="A13" s="59"/>
      <c r="B13" s="1"/>
      <c r="C13" s="1"/>
      <c r="D13" s="1"/>
      <c r="E13" s="1"/>
      <c r="F13" s="60"/>
    </row>
    <row r="14" spans="1:9" x14ac:dyDescent="0.4">
      <c r="A14" s="59"/>
      <c r="B14" s="1"/>
      <c r="C14" s="1"/>
      <c r="D14" s="1"/>
      <c r="E14" s="1"/>
      <c r="F14" s="60"/>
    </row>
    <row r="15" spans="1:9" x14ac:dyDescent="0.4">
      <c r="A15" s="59"/>
      <c r="B15" s="14"/>
      <c r="C15" s="14"/>
      <c r="E15" s="1"/>
      <c r="F15" s="60"/>
    </row>
    <row r="16" spans="1:9" x14ac:dyDescent="0.4">
      <c r="A16" s="59"/>
      <c r="B16" s="1"/>
      <c r="C16" s="1"/>
      <c r="D16" s="1"/>
      <c r="E16" s="1"/>
      <c r="F16" s="60"/>
    </row>
    <row r="17" spans="1:12" x14ac:dyDescent="0.4">
      <c r="A17" s="59"/>
      <c r="B17" s="14"/>
      <c r="C17" s="14"/>
      <c r="E17" s="1"/>
      <c r="F17" s="60"/>
    </row>
    <row r="18" spans="1:12" x14ac:dyDescent="0.4">
      <c r="A18" s="15"/>
      <c r="B18" s="1"/>
      <c r="C18" s="31"/>
      <c r="D18" s="8"/>
      <c r="E18" s="32"/>
      <c r="F18" s="16"/>
    </row>
    <row r="19" spans="1:12" x14ac:dyDescent="0.4">
      <c r="A19" s="30"/>
      <c r="B19" s="31"/>
      <c r="C19" s="31"/>
      <c r="D19" s="32"/>
      <c r="E19" s="32"/>
      <c r="F19" s="34"/>
    </row>
    <row r="20" spans="1:12" x14ac:dyDescent="0.4">
      <c r="J20" s="82" t="s">
        <v>69</v>
      </c>
      <c r="K20" s="82"/>
      <c r="L20" s="82"/>
    </row>
    <row r="21" spans="1:12" x14ac:dyDescent="0.4">
      <c r="F21" s="9" t="s">
        <v>56</v>
      </c>
      <c r="G21" s="39">
        <f>SUM(Table834[المبلغ])</f>
        <v>0</v>
      </c>
      <c r="J21" s="1" t="s">
        <v>68</v>
      </c>
      <c r="K21" s="1" t="s">
        <v>58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2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27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21</v>
      </c>
      <c r="C6" s="8" t="s">
        <v>9</v>
      </c>
      <c r="D6" s="8" t="s">
        <v>28</v>
      </c>
      <c r="E6" s="10">
        <v>10000</v>
      </c>
      <c r="F6" s="16"/>
    </row>
    <row r="7" spans="1:6" x14ac:dyDescent="0.4">
      <c r="A7" s="30">
        <v>46023</v>
      </c>
      <c r="B7" s="31" t="s">
        <v>21</v>
      </c>
      <c r="C7" s="32" t="s">
        <v>9</v>
      </c>
      <c r="D7" s="32" t="s">
        <v>28</v>
      </c>
      <c r="E7" s="33">
        <v>20600</v>
      </c>
      <c r="F7" s="34"/>
    </row>
    <row r="8" spans="1:6" x14ac:dyDescent="0.4">
      <c r="A8" s="30">
        <v>46023</v>
      </c>
      <c r="B8" s="31" t="s">
        <v>21</v>
      </c>
      <c r="C8" s="32" t="s">
        <v>9</v>
      </c>
      <c r="D8" s="32" t="s">
        <v>28</v>
      </c>
      <c r="E8" s="33">
        <v>-30600</v>
      </c>
      <c r="F8" s="34"/>
    </row>
    <row r="10" spans="1:6" x14ac:dyDescent="0.4">
      <c r="D10" s="9" t="s">
        <v>29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25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26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90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64</v>
      </c>
      <c r="C5" s="18" t="s">
        <v>63</v>
      </c>
      <c r="D5" s="19" t="s">
        <v>4</v>
      </c>
      <c r="E5" s="19" t="s">
        <v>6</v>
      </c>
      <c r="F5" s="20" t="s">
        <v>7</v>
      </c>
    </row>
    <row r="6" spans="1:9" x14ac:dyDescent="0.4">
      <c r="A6" s="41">
        <v>46109</v>
      </c>
      <c r="B6" s="42" t="s">
        <v>60</v>
      </c>
      <c r="C6" s="42" t="s">
        <v>60</v>
      </c>
      <c r="D6" s="42" t="s">
        <v>60</v>
      </c>
      <c r="E6" s="42">
        <v>315</v>
      </c>
      <c r="F6" s="44" t="s">
        <v>59</v>
      </c>
      <c r="H6" s="2" t="s">
        <v>67</v>
      </c>
      <c r="I6" s="50"/>
    </row>
    <row r="7" spans="1:9" x14ac:dyDescent="0.4">
      <c r="A7" s="59"/>
      <c r="B7" s="14"/>
      <c r="C7" s="14"/>
      <c r="E7" s="1"/>
      <c r="F7" s="60"/>
      <c r="H7" s="2" t="s">
        <v>66</v>
      </c>
      <c r="I7" s="51"/>
    </row>
    <row r="8" spans="1:9" x14ac:dyDescent="0.4">
      <c r="A8" s="59"/>
      <c r="B8" s="14"/>
      <c r="C8" s="14"/>
      <c r="E8" s="1"/>
      <c r="F8" s="60"/>
    </row>
    <row r="9" spans="1:9" x14ac:dyDescent="0.4">
      <c r="A9" s="59"/>
      <c r="B9" s="1"/>
      <c r="C9" s="1"/>
      <c r="D9" s="1"/>
      <c r="E9" s="1"/>
      <c r="F9" s="60"/>
      <c r="H9" s="2" t="s">
        <v>67</v>
      </c>
      <c r="I9" s="50"/>
    </row>
    <row r="10" spans="1:9" x14ac:dyDescent="0.4">
      <c r="A10" s="59"/>
      <c r="B10" s="14"/>
      <c r="C10" s="14"/>
      <c r="E10" s="1"/>
      <c r="F10" s="60"/>
    </row>
    <row r="11" spans="1:9" x14ac:dyDescent="0.4">
      <c r="A11" s="59"/>
      <c r="B11" s="1"/>
      <c r="C11" s="1"/>
      <c r="D11" s="1"/>
      <c r="E11" s="1"/>
      <c r="F11" s="60"/>
    </row>
    <row r="12" spans="1:9" x14ac:dyDescent="0.4">
      <c r="A12" s="59"/>
      <c r="B12" s="14"/>
      <c r="C12" s="14"/>
      <c r="E12" s="1"/>
      <c r="F12" s="60"/>
    </row>
    <row r="13" spans="1:9" x14ac:dyDescent="0.4">
      <c r="A13" s="59"/>
      <c r="B13" s="1"/>
      <c r="C13" s="1"/>
      <c r="D13" s="1"/>
      <c r="E13" s="1"/>
      <c r="F13" s="60"/>
    </row>
    <row r="14" spans="1:9" x14ac:dyDescent="0.4">
      <c r="A14" s="59"/>
      <c r="B14" s="1"/>
      <c r="C14" s="1"/>
      <c r="D14" s="1"/>
      <c r="E14" s="1"/>
      <c r="F14" s="60"/>
    </row>
    <row r="15" spans="1:9" x14ac:dyDescent="0.4">
      <c r="A15" s="59"/>
      <c r="B15" s="14"/>
      <c r="C15" s="14"/>
      <c r="E15" s="1"/>
      <c r="F15" s="60"/>
    </row>
    <row r="16" spans="1:9" x14ac:dyDescent="0.4">
      <c r="A16" s="59"/>
      <c r="B16" s="1"/>
      <c r="C16" s="1"/>
      <c r="D16" s="1"/>
      <c r="E16" s="1"/>
      <c r="F16" s="60"/>
    </row>
    <row r="17" spans="1:12" x14ac:dyDescent="0.4">
      <c r="A17" s="59"/>
      <c r="B17" s="14"/>
      <c r="C17" s="14"/>
      <c r="E17" s="1"/>
      <c r="F17" s="60"/>
    </row>
    <row r="18" spans="1:12" x14ac:dyDescent="0.4">
      <c r="A18" s="15"/>
      <c r="B18" s="1"/>
      <c r="C18" s="31"/>
      <c r="D18" s="8"/>
      <c r="E18" s="32"/>
      <c r="F18" s="16"/>
    </row>
    <row r="19" spans="1:12" x14ac:dyDescent="0.4">
      <c r="A19" s="30"/>
      <c r="B19" s="31"/>
      <c r="C19" s="31"/>
      <c r="D19" s="32"/>
      <c r="E19" s="32"/>
      <c r="F19" s="34"/>
    </row>
    <row r="20" spans="1:12" x14ac:dyDescent="0.4">
      <c r="J20" s="82" t="s">
        <v>69</v>
      </c>
      <c r="K20" s="82"/>
      <c r="L20" s="82"/>
    </row>
    <row r="21" spans="1:12" x14ac:dyDescent="0.4">
      <c r="F21" s="9" t="s">
        <v>56</v>
      </c>
      <c r="G21" s="39">
        <f>SUM(Table8345[المبلغ])</f>
        <v>315</v>
      </c>
      <c r="J21" s="1" t="s">
        <v>68</v>
      </c>
      <c r="K21" s="1" t="s">
        <v>58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69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2"/>
      <c r="K29" s="2">
        <v>18</v>
      </c>
    </row>
    <row r="30" spans="1:12" ht="39.6" x14ac:dyDescent="0.4">
      <c r="A30" s="17" t="s">
        <v>2</v>
      </c>
      <c r="B30" s="18" t="s">
        <v>58</v>
      </c>
      <c r="C30" s="18" t="s">
        <v>92</v>
      </c>
      <c r="D30" s="19" t="s">
        <v>93</v>
      </c>
      <c r="E30" s="19" t="s">
        <v>94</v>
      </c>
      <c r="F30" s="20" t="s">
        <v>7</v>
      </c>
    </row>
    <row r="31" spans="1:12" x14ac:dyDescent="0.4">
      <c r="A31" s="59" t="s">
        <v>91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0"/>
      <c r="K31" s="2">
        <f>SUM(K25:K30)</f>
        <v>29</v>
      </c>
    </row>
    <row r="32" spans="1:12" x14ac:dyDescent="0.4">
      <c r="A32" s="59"/>
      <c r="B32" s="14"/>
      <c r="C32" s="14"/>
      <c r="E32" s="1"/>
      <c r="F32" s="60"/>
    </row>
    <row r="33" spans="1:6" x14ac:dyDescent="0.4">
      <c r="A33" s="59"/>
      <c r="B33" s="14"/>
      <c r="C33" s="14"/>
      <c r="E33" s="1"/>
      <c r="F33" s="60"/>
    </row>
    <row r="34" spans="1:6" x14ac:dyDescent="0.4">
      <c r="A34" s="59"/>
      <c r="B34" s="1"/>
      <c r="C34" s="1"/>
      <c r="D34" s="1"/>
      <c r="E34" s="1"/>
      <c r="F34" s="60"/>
    </row>
    <row r="35" spans="1:6" x14ac:dyDescent="0.4">
      <c r="A35" s="59"/>
      <c r="B35" s="14"/>
      <c r="C35" s="14"/>
      <c r="E35" s="1"/>
      <c r="F35" s="60"/>
    </row>
    <row r="36" spans="1:6" x14ac:dyDescent="0.4">
      <c r="A36" s="59"/>
      <c r="B36" s="1"/>
      <c r="C36" s="1"/>
      <c r="D36" s="1"/>
      <c r="E36" s="1"/>
      <c r="F36" s="60"/>
    </row>
    <row r="37" spans="1:6" x14ac:dyDescent="0.4">
      <c r="A37" s="59"/>
      <c r="B37" s="14"/>
      <c r="C37" s="14"/>
      <c r="E37" s="1"/>
      <c r="F37" s="60"/>
    </row>
    <row r="38" spans="1:6" x14ac:dyDescent="0.4">
      <c r="A38" s="59"/>
      <c r="B38" s="1"/>
      <c r="C38" s="1"/>
      <c r="D38" s="1"/>
      <c r="E38" s="1"/>
      <c r="F38" s="60"/>
    </row>
    <row r="39" spans="1:6" x14ac:dyDescent="0.4">
      <c r="A39" s="59"/>
      <c r="B39" s="1"/>
      <c r="C39" s="1"/>
      <c r="D39" s="1"/>
      <c r="E39" s="1"/>
      <c r="F39" s="60"/>
    </row>
    <row r="40" spans="1:6" x14ac:dyDescent="0.4">
      <c r="A40" s="59"/>
      <c r="B40" s="14"/>
      <c r="C40" s="14"/>
      <c r="E40" s="1"/>
      <c r="F40" s="60"/>
    </row>
    <row r="41" spans="1:6" x14ac:dyDescent="0.4">
      <c r="A41" s="59"/>
      <c r="B41" s="1"/>
      <c r="C41" s="1"/>
      <c r="D41" s="1"/>
      <c r="E41" s="1"/>
      <c r="F41" s="60"/>
    </row>
    <row r="42" spans="1:6" x14ac:dyDescent="0.4">
      <c r="A42" s="59"/>
      <c r="B42" s="14"/>
      <c r="C42" s="14"/>
      <c r="E42" s="1"/>
      <c r="F42" s="60"/>
    </row>
    <row r="43" spans="1:6" x14ac:dyDescent="0.4">
      <c r="A43" s="59"/>
      <c r="B43" s="1"/>
      <c r="C43" s="31"/>
      <c r="D43" s="1"/>
      <c r="E43" s="31"/>
      <c r="F43" s="60"/>
    </row>
    <row r="44" spans="1:6" x14ac:dyDescent="0.4">
      <c r="A44" s="71"/>
      <c r="B44" s="31"/>
      <c r="C44" s="31"/>
      <c r="D44" s="31"/>
      <c r="E44" s="31"/>
      <c r="F44" s="72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2026-06-21T08:08:30Z</dcterms:modified>
  <cp:category/>
  <cp:contentStatus/>
</cp:coreProperties>
</file>