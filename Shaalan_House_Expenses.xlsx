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New House\Shaalan\"/>
    </mc:Choice>
  </mc:AlternateContent>
  <xr:revisionPtr revIDLastSave="0" documentId="13_ncr:1_{2A6117D2-0BDF-4B35-8EFB-0789A72881A0}" xr6:coauthVersionLast="47" xr6:coauthVersionMax="47" xr10:uidLastSave="{00000000-0000-0000-0000-000000000000}"/>
  <bookViews>
    <workbookView xWindow="-108" yWindow="-108" windowWidth="23256" windowHeight="13176" tabRatio="713" xr2:uid="{00000000-000D-0000-FFFF-FFFF00000000}"/>
  </bookViews>
  <sheets>
    <sheet name="المصروفات" sheetId="7" r:id="rId1"/>
    <sheet name="خرسانة المرهون" sheetId="9" r:id="rId2"/>
  </sheets>
  <definedNames>
    <definedName name="_xlnm._FilterDatabase" localSheetId="1" hidden="1">'خرسانة المرهون'!$A$5:$H$13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7" l="1"/>
  <c r="L30" i="9"/>
  <c r="L25" i="9"/>
  <c r="G13" i="9"/>
  <c r="G12" i="9"/>
  <c r="G11" i="9"/>
  <c r="G10" i="9"/>
  <c r="G9" i="9"/>
  <c r="G8" i="9"/>
  <c r="G7" i="9"/>
  <c r="G6" i="9"/>
  <c r="G15" i="9" s="1"/>
  <c r="G17" i="9" s="1"/>
  <c r="H23" i="7"/>
  <c r="H22" i="7"/>
</calcChain>
</file>

<file path=xl/sharedStrings.xml><?xml version="1.0" encoding="utf-8"?>
<sst xmlns="http://schemas.openxmlformats.org/spreadsheetml/2006/main" count="102" uniqueCount="62">
  <si>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</si>
  <si>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</si>
  <si>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</si>
  <si>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</si>
  <si>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</si>
  <si>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</si>
  <si>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</si>
  <si>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</si>
  <si>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</si>
  <si>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</si>
  <si>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</si>
  <si>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</si>
  <si>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</si>
  <si>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</si>
  <si>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</si>
  <si>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>مدفوع</t>
  </si>
  <si>
    <t>أرض</t>
  </si>
  <si>
    <t>شراء أرض</t>
  </si>
  <si>
    <t>قبل البناء</t>
  </si>
  <si>
    <t>تصميم الخارطة - الدفعة الأولى</t>
  </si>
  <si>
    <t>تصميم وهندسة</t>
  </si>
  <si>
    <t>تصميم معماري</t>
  </si>
  <si>
    <t>التحديد المساحي</t>
  </si>
  <si>
    <t>مكتب رؤية المستقبل</t>
  </si>
  <si>
    <t>رخص</t>
  </si>
  <si>
    <t>فحص التربة</t>
  </si>
  <si>
    <t>الكعبي لفحص التربة</t>
  </si>
  <si>
    <t>فحص ومسح ورخص</t>
  </si>
  <si>
    <t>فحص تربة</t>
  </si>
  <si>
    <t>تصميم الخارطة - الدفعة الثانية</t>
  </si>
  <si>
    <t>المدفوع حتى الآن – بدون الأرض</t>
  </si>
  <si>
    <t>الالتزامات المتبقية</t>
  </si>
  <si>
    <t>المدفوع إلى الآن مع سعر الأرض</t>
  </si>
  <si>
    <t>الوصف 1</t>
  </si>
  <si>
    <t>الوصف 2</t>
  </si>
  <si>
    <t>مدفوع/
مستقبلي</t>
  </si>
  <si>
    <t>سعر المتر</t>
  </si>
  <si>
    <t>الكمية</t>
  </si>
  <si>
    <t>Column1</t>
  </si>
  <si>
    <t>اضافة رصيد</t>
  </si>
  <si>
    <t>استهلاك رصيد</t>
  </si>
  <si>
    <t>صبية الأساسات</t>
  </si>
  <si>
    <t>إضافة رصيد</t>
  </si>
  <si>
    <t>صبية أعمدة</t>
  </si>
  <si>
    <t>صبية أعمدة الأرقاب</t>
  </si>
  <si>
    <t>الرصيد المتبقي للإستخدام</t>
  </si>
  <si>
    <t>رصيد الأمتار المتبقية - م ٣</t>
  </si>
  <si>
    <t>حاسبة خرسانة الأسمنت</t>
  </si>
  <si>
    <t>سعر المتر المكعب</t>
  </si>
  <si>
    <t>حاسبة الماء البارد للخرسانة</t>
  </si>
  <si>
    <t>خرسانة المرهون</t>
  </si>
  <si>
    <t>شيك</t>
  </si>
  <si>
    <t>تحويل بنكي - ساب</t>
  </si>
  <si>
    <t>نظام سداد</t>
  </si>
  <si>
    <t>قرض من الوالد بقيمة  722,000 ريال</t>
  </si>
  <si>
    <t>تقرير مساحي من بلدي</t>
  </si>
  <si>
    <t xml:space="preserve">مبلغ موجود + قرض من الوالد </t>
  </si>
  <si>
    <t>مكتب فرج الله الراشد  الهندسي- الدمام</t>
  </si>
  <si>
    <t>مكتب فرج الله الراشد الهندسي - الدمام</t>
  </si>
  <si>
    <t>بلدي- عن طريق مكتب فرج الله الراشد الهندسي- الدمام</t>
  </si>
  <si>
    <t>تحديث إحداثيات الأرض في الموقع الجغرافي</t>
  </si>
  <si>
    <t>إصدار التقرير المساحي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</si>
</sst>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1">
    <font>
      <sz val="11"/>
      <color theme="1"/>
      <name val="Aptos Narrow"/>
      <charset val="134"/>
      <scheme val="minor"/>
    </font>
    <font>
      <sz val="15"/>
      <color theme="1"/>
      <name val="Aptos Narrow"/>
      <charset val="134"/>
      <scheme val="minor"/>
    </font>
    <font>
      <sz val="30"/>
      <color theme="1"/>
      <name val="Aptos Narrow"/>
      <charset val="134"/>
      <scheme val="minor"/>
    </font>
    <font>
      <b/>
      <sz val="15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sz val="11"/>
      <color theme="1"/>
      <name val="Aptos Narrow"/>
      <charset val="134"/>
      <scheme val="minor"/>
    </font>
    <font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/>
    <xf numFmtId="0" fontId="1" fillId="0" borderId="0" xfId="0" applyFont="1"/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164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 readingOrder="2"/>
    </xf>
    <xf numFmtId="0" fontId="1" fillId="2" borderId="5" xfId="0" applyFont="1" applyFill="1" applyBorder="1"/>
    <xf numFmtId="0" fontId="1" fillId="2" borderId="6" xfId="0" applyFont="1" applyFill="1" applyBorder="1"/>
    <xf numFmtId="0" fontId="1" fillId="3" borderId="0" xfId="0" applyFont="1" applyFill="1"/>
    <xf numFmtId="0" fontId="1" fillId="0" borderId="5" xfId="0" applyFont="1" applyBorder="1" applyAlignment="1">
      <alignment wrapText="1"/>
    </xf>
    <xf numFmtId="0" fontId="1" fillId="0" borderId="5" xfId="0" applyFont="1" applyBorder="1"/>
    <xf numFmtId="0" fontId="1" fillId="2" borderId="0" xfId="0" applyFont="1" applyFill="1"/>
    <xf numFmtId="164" fontId="1" fillId="4" borderId="4" xfId="0" applyNumberFormat="1" applyFont="1" applyFill="1" applyBorder="1" applyAlignment="1">
      <alignment horizontal="center" vertical="center" readingOrder="2"/>
    </xf>
    <xf numFmtId="0" fontId="1" fillId="0" borderId="7" xfId="0" applyFont="1" applyBorder="1"/>
    <xf numFmtId="0" fontId="1" fillId="4" borderId="7" xfId="0" applyFont="1" applyFill="1" applyBorder="1"/>
    <xf numFmtId="0" fontId="1" fillId="4" borderId="6" xfId="0" applyFont="1" applyFill="1" applyBorder="1"/>
    <xf numFmtId="164" fontId="1" fillId="4" borderId="8" xfId="0" applyNumberFormat="1" applyFont="1" applyFill="1" applyBorder="1" applyAlignment="1">
      <alignment horizontal="center" vertical="center" readingOrder="2"/>
    </xf>
    <xf numFmtId="0" fontId="1" fillId="4" borderId="9" xfId="0" applyFont="1" applyFill="1" applyBorder="1"/>
    <xf numFmtId="0" fontId="3" fillId="2" borderId="5" xfId="0" applyFont="1" applyFill="1" applyBorder="1"/>
    <xf numFmtId="43" fontId="3" fillId="2" borderId="5" xfId="1" applyFont="1" applyFill="1" applyBorder="1"/>
    <xf numFmtId="164" fontId="1" fillId="3" borderId="4" xfId="0" applyNumberFormat="1" applyFont="1" applyFill="1" applyBorder="1" applyAlignment="1">
      <alignment horizontal="center" vertical="center" readingOrder="2"/>
    </xf>
    <xf numFmtId="0" fontId="1" fillId="3" borderId="5" xfId="0" applyFont="1" applyFill="1" applyBorder="1"/>
    <xf numFmtId="0" fontId="1" fillId="3" borderId="6" xfId="0" applyFont="1" applyFill="1" applyBorder="1"/>
    <xf numFmtId="39" fontId="1" fillId="2" borderId="5" xfId="1" applyNumberFormat="1" applyFont="1" applyFill="1" applyBorder="1"/>
    <xf numFmtId="0" fontId="1" fillId="3" borderId="5" xfId="0" applyFont="1" applyFill="1" applyBorder="1" applyAlignment="1">
      <alignment wrapText="1"/>
    </xf>
    <xf numFmtId="39" fontId="1" fillId="3" borderId="5" xfId="1" applyNumberFormat="1" applyFont="1" applyFill="1" applyBorder="1"/>
    <xf numFmtId="39" fontId="1" fillId="0" borderId="5" xfId="1" applyNumberFormat="1" applyFont="1" applyFill="1" applyBorder="1"/>
    <xf numFmtId="0" fontId="1" fillId="0" borderId="7" xfId="0" applyFont="1" applyBorder="1" applyAlignment="1">
      <alignment wrapText="1"/>
    </xf>
    <xf numFmtId="39" fontId="1" fillId="0" borderId="5" xfId="1" applyNumberFormat="1" applyFont="1" applyBorder="1"/>
    <xf numFmtId="2" fontId="1" fillId="0" borderId="5" xfId="0" applyNumberFormat="1" applyFont="1" applyBorder="1"/>
    <xf numFmtId="0" fontId="4" fillId="0" borderId="0" xfId="0" applyFont="1" applyAlignment="1">
      <alignment horizontal="center" vertical="center"/>
    </xf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165" fontId="4" fillId="0" borderId="0" xfId="0" applyNumberFormat="1" applyFont="1"/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165" fontId="6" fillId="3" borderId="10" xfId="0" applyNumberFormat="1" applyFont="1" applyFill="1" applyBorder="1" applyAlignment="1">
      <alignment horizontal="center" vertical="center"/>
    </xf>
    <xf numFmtId="4" fontId="7" fillId="0" borderId="0" xfId="0" applyNumberFormat="1" applyFont="1"/>
    <xf numFmtId="0" fontId="6" fillId="2" borderId="10" xfId="0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165" fontId="6" fillId="6" borderId="10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8" fillId="0" borderId="0" xfId="0" applyFont="1" applyAlignment="1">
      <alignment vertical="center" wrapText="1"/>
    </xf>
    <xf numFmtId="164" fontId="10" fillId="0" borderId="5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right"/>
    </xf>
    <xf numFmtId="165" fontId="10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21">
    <dxf>
      <font>
        <b val="0"/>
        <i val="0"/>
        <strike val="0"/>
        <u val="none"/>
        <sz val="15"/>
        <color theme="1"/>
        <name val="Aptos Narrow"/>
        <family val="2"/>
        <scheme val="none"/>
      </font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7" formatCode="#,##0.00_);\(#,##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164" formatCode="[$-409]mmmm\ d\,\ yyyy;@"/>
      <fill>
        <patternFill patternType="solid">
          <bgColor theme="0"/>
        </patternFill>
      </fill>
      <alignment horizontal="center" vertical="center" readingOrder="2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4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18" totalsRowShown="0">
  <autoFilter ref="A4:M18" xr:uid="{00000000-0009-0000-0100-000001000000}"/>
  <tableColumns count="13">
    <tableColumn id="1" xr3:uid="{00000000-0010-0000-0000-000001000000}" name="التاريخ" dataDxfId="20"/>
    <tableColumn id="2" xr3:uid="{00000000-0010-0000-0000-000002000000}" name="الوصف" dataDxfId="19"/>
    <tableColumn id="3" xr3:uid="{00000000-0010-0000-0000-000003000000}" name="مقدم الخدمة" dataDxfId="18"/>
    <tableColumn id="4" xr3:uid="{00000000-0010-0000-0000-000004000000}" name="حالة_x000a_الدفع" dataDxfId="17"/>
    <tableColumn id="5" xr3:uid="{00000000-0010-0000-0000-000005000000}" name="الفئة" dataDxfId="16"/>
    <tableColumn id="6" xr3:uid="{00000000-0010-0000-0000-000006000000}" name="الفئة الفرعية" dataDxfId="15"/>
    <tableColumn id="15" xr3:uid="{00000000-0010-0000-0000-00000F000000}" name="ملاحظات" dataDxfId="14"/>
    <tableColumn id="7" xr3:uid="{00000000-0010-0000-0000-000007000000}" name="مرحلة_x000a_المشروع" dataDxfId="13"/>
    <tableColumn id="8" xr3:uid="{00000000-0010-0000-0000-000008000000}" name="المبلغ" dataDxfId="12"/>
    <tableColumn id="9" xr3:uid="{00000000-0010-0000-0000-000009000000}" name="طريقة الدفع" dataDxfId="11"/>
    <tableColumn id="12" xr3:uid="{00000000-0010-0000-0000-00000C000000}" name="المرحلة" dataDxfId="10"/>
    <tableColumn id="10" xr3:uid="{00000000-0010-0000-0000-00000A000000}" name="معلومات إضافية" dataDxfId="9"/>
    <tableColumn id="11" xr3:uid="{00000000-0010-0000-0000-00000B000000}" name="تأكيد كل_x000a_المعلومات؟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83" displayName="Table83" ref="A5:I13" totalsRowShown="0">
  <autoFilter ref="A5:I13" xr:uid="{00000000-0009-0000-0100-000002000000}"/>
  <tableColumns count="9">
    <tableColumn id="1" xr3:uid="{00000000-0010-0000-0100-000001000000}" name="التاريخ" dataDxfId="7"/>
    <tableColumn id="2" xr3:uid="{00000000-0010-0000-0100-000002000000}" name="الوصف 1" dataDxfId="6"/>
    <tableColumn id="9" xr3:uid="{00000000-0010-0000-0100-000009000000}" name="الوصف 2"/>
    <tableColumn id="3" xr3:uid="{00000000-0010-0000-0100-000003000000}" name="مدفوع/_x000a_مستقبلي" dataDxfId="5"/>
    <tableColumn id="7" xr3:uid="{00000000-0010-0000-0100-000007000000}" name="سعر المتر" dataDxfId="4"/>
    <tableColumn id="4" xr3:uid="{00000000-0010-0000-0100-000004000000}" name="الكمية" dataDxfId="3"/>
    <tableColumn id="5" xr3:uid="{00000000-0010-0000-0100-000005000000}" name="المبلغ" dataDxfId="2">
      <calculatedColumnFormula>Table83[[#This Row],[سعر المتر]]*Table83[[#This Row],[الكمية]]</calculatedColumnFormula>
    </tableColumn>
    <tableColumn id="6" xr3:uid="{00000000-0010-0000-0100-000006000000}" name="ملاحظات" dataDxfId="1"/>
    <tableColumn id="8" xr3:uid="{00000000-0010-0000-0100-000008000000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27"/>
  <sheetViews>
    <sheetView rightToLeft="1" tabSelected="1" topLeftCell="C1" zoomScale="85" zoomScaleNormal="85" workbookViewId="0">
      <selection activeCell="H17" sqref="H17"/>
    </sheetView>
  </sheetViews>
  <sheetFormatPr defaultColWidth="8.77734375" defaultRowHeight="17.399999999999999"/>
  <cols>
    <col min="1" max="1" width="22.77734375" style="36" bestFit="1" customWidth="1"/>
    <col min="2" max="2" width="39.6640625" style="37" bestFit="1" customWidth="1"/>
    <col min="3" max="3" width="48.77734375" style="38" bestFit="1" customWidth="1"/>
    <col min="4" max="4" width="10.44140625" style="38" bestFit="1" customWidth="1"/>
    <col min="5" max="6" width="19.88671875" style="38" bestFit="1" customWidth="1"/>
    <col min="7" max="7" width="43" style="38" bestFit="1" customWidth="1"/>
    <col min="8" max="8" width="32.6640625" style="38" bestFit="1" customWidth="1"/>
    <col min="9" max="9" width="22.88671875" style="39" customWidth="1"/>
    <col min="10" max="10" width="17.6640625" style="38" bestFit="1" customWidth="1"/>
    <col min="11" max="11" width="12.77734375" style="38" bestFit="1" customWidth="1"/>
    <col min="12" max="12" width="34.6640625" style="38" bestFit="1" customWidth="1"/>
    <col min="13" max="13" width="15.6640625" style="38" bestFit="1" customWidth="1"/>
    <col min="14" max="14" width="8.77734375" style="38"/>
    <col min="15" max="15" width="6.88671875" style="38" customWidth="1"/>
    <col min="16" max="16384" width="8.77734375" style="38"/>
  </cols>
  <sheetData>
    <row r="2" spans="1:13" ht="37.799999999999997">
      <c r="A2" s="62" t="s">
        <v>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</row>
    <row r="4" spans="1:13" s="35" customFormat="1" ht="34.799999999999997">
      <c r="A4" s="40" t="s">
        <v>1</v>
      </c>
      <c r="B4" s="37" t="s">
        <v>2</v>
      </c>
      <c r="C4" s="35" t="s">
        <v>3</v>
      </c>
      <c r="D4" s="41" t="s">
        <v>4</v>
      </c>
      <c r="E4" s="35" t="s">
        <v>5</v>
      </c>
      <c r="F4" s="35" t="s">
        <v>6</v>
      </c>
      <c r="G4" s="35" t="s">
        <v>7</v>
      </c>
      <c r="H4" s="41" t="s">
        <v>8</v>
      </c>
      <c r="I4" s="42" t="s">
        <v>9</v>
      </c>
      <c r="J4" s="35" t="s">
        <v>10</v>
      </c>
      <c r="K4" s="35" t="s">
        <v>11</v>
      </c>
      <c r="L4" s="35" t="s">
        <v>12</v>
      </c>
      <c r="M4" s="41" t="s">
        <v>13</v>
      </c>
    </row>
    <row r="5" spans="1:13">
      <c r="A5" s="56">
        <v>43831</v>
      </c>
      <c r="B5" s="43" t="s">
        <v>14</v>
      </c>
      <c r="C5" s="44" t="s">
        <v>56</v>
      </c>
      <c r="D5" s="44" t="s">
        <v>15</v>
      </c>
      <c r="E5" s="44" t="s">
        <v>16</v>
      </c>
      <c r="F5" s="44" t="s">
        <v>17</v>
      </c>
      <c r="G5" s="44"/>
      <c r="H5" s="44" t="s">
        <v>18</v>
      </c>
      <c r="I5" s="45">
        <v>1100000</v>
      </c>
      <c r="J5" s="44" t="s">
        <v>51</v>
      </c>
      <c r="K5" s="44"/>
      <c r="L5" s="44" t="s">
        <v>54</v>
      </c>
      <c r="M5" s="44"/>
    </row>
    <row r="6" spans="1:13">
      <c r="A6" s="56">
        <v>45047</v>
      </c>
      <c r="B6" s="43" t="s">
        <v>19</v>
      </c>
      <c r="C6" s="44" t="s">
        <v>57</v>
      </c>
      <c r="D6" s="44" t="s">
        <v>15</v>
      </c>
      <c r="E6" s="44" t="s">
        <v>20</v>
      </c>
      <c r="F6" s="44" t="s">
        <v>21</v>
      </c>
      <c r="G6" s="44"/>
      <c r="H6" s="44" t="s">
        <v>18</v>
      </c>
      <c r="I6" s="45">
        <v>15600</v>
      </c>
      <c r="J6" s="44" t="s">
        <v>52</v>
      </c>
      <c r="K6" s="44"/>
      <c r="L6" s="44"/>
      <c r="M6" s="44"/>
    </row>
    <row r="7" spans="1:13">
      <c r="A7" s="56">
        <v>45120</v>
      </c>
      <c r="B7" s="43" t="s">
        <v>22</v>
      </c>
      <c r="C7" s="44" t="s">
        <v>23</v>
      </c>
      <c r="D7" s="44" t="s">
        <v>15</v>
      </c>
      <c r="E7" s="44" t="s">
        <v>24</v>
      </c>
      <c r="F7" s="44" t="s">
        <v>27</v>
      </c>
      <c r="G7" s="44"/>
      <c r="H7" s="44" t="s">
        <v>18</v>
      </c>
      <c r="I7" s="45">
        <v>575</v>
      </c>
      <c r="J7" s="44" t="s">
        <v>52</v>
      </c>
      <c r="K7" s="44"/>
      <c r="L7" s="44"/>
      <c r="M7" s="44"/>
    </row>
    <row r="8" spans="1:13">
      <c r="A8" s="56">
        <v>45870</v>
      </c>
      <c r="B8" s="43" t="s">
        <v>25</v>
      </c>
      <c r="C8" s="44" t="s">
        <v>26</v>
      </c>
      <c r="D8" s="44" t="s">
        <v>15</v>
      </c>
      <c r="E8" s="44" t="s">
        <v>27</v>
      </c>
      <c r="F8" s="44" t="s">
        <v>27</v>
      </c>
      <c r="G8" s="44" t="s">
        <v>28</v>
      </c>
      <c r="H8" s="44" t="s">
        <v>18</v>
      </c>
      <c r="I8" s="45">
        <v>7000</v>
      </c>
      <c r="J8" s="44" t="s">
        <v>52</v>
      </c>
      <c r="K8" s="44"/>
      <c r="L8" s="44"/>
      <c r="M8" s="44"/>
    </row>
    <row r="9" spans="1:13">
      <c r="A9" s="56">
        <v>45870</v>
      </c>
      <c r="B9" s="43" t="s">
        <v>29</v>
      </c>
      <c r="C9" s="44" t="s">
        <v>58</v>
      </c>
      <c r="D9" s="44" t="s">
        <v>15</v>
      </c>
      <c r="E9" s="44" t="s">
        <v>20</v>
      </c>
      <c r="F9" s="44" t="s">
        <v>21</v>
      </c>
      <c r="G9" s="44"/>
      <c r="H9" s="44" t="s">
        <v>18</v>
      </c>
      <c r="I9" s="45">
        <v>15600</v>
      </c>
      <c r="J9" s="44" t="s">
        <v>52</v>
      </c>
      <c r="K9" s="44"/>
      <c r="L9" s="44"/>
      <c r="M9" s="44"/>
    </row>
    <row r="10" spans="1:13">
      <c r="A10" s="56">
        <v>45962</v>
      </c>
      <c r="B10" s="43" t="s">
        <v>60</v>
      </c>
      <c r="C10" s="44" t="s">
        <v>23</v>
      </c>
      <c r="D10" s="44" t="s">
        <v>15</v>
      </c>
      <c r="E10" s="44" t="s">
        <v>27</v>
      </c>
      <c r="F10" s="44" t="s">
        <v>27</v>
      </c>
      <c r="G10" s="44"/>
      <c r="H10" s="44" t="s">
        <v>18</v>
      </c>
      <c r="I10" s="45">
        <v>200</v>
      </c>
      <c r="J10" s="44" t="s">
        <v>52</v>
      </c>
      <c r="K10" s="44"/>
      <c r="L10" s="44"/>
      <c r="M10" s="44"/>
    </row>
    <row r="11" spans="1:13">
      <c r="A11" s="56">
        <v>45962</v>
      </c>
      <c r="B11" s="43" t="s">
        <v>61</v>
      </c>
      <c r="C11" s="44" t="s">
        <v>59</v>
      </c>
      <c r="D11" s="44" t="s">
        <v>15</v>
      </c>
      <c r="E11" s="44" t="s">
        <v>24</v>
      </c>
      <c r="F11" s="44" t="s">
        <v>27</v>
      </c>
      <c r="G11" s="44" t="s">
        <v>55</v>
      </c>
      <c r="H11" s="44" t="s">
        <v>18</v>
      </c>
      <c r="I11" s="45">
        <v>240.48</v>
      </c>
      <c r="J11" s="44" t="s">
        <v>53</v>
      </c>
      <c r="K11" s="44"/>
      <c r="L11" s="44"/>
      <c r="M11" s="44"/>
    </row>
    <row r="12" spans="1:13">
      <c r="A12" s="56"/>
      <c r="B12" s="43"/>
      <c r="C12" s="44"/>
      <c r="D12" s="44"/>
      <c r="E12" s="44"/>
      <c r="F12" s="44"/>
      <c r="G12" s="44"/>
      <c r="H12" s="44"/>
      <c r="I12" s="58"/>
      <c r="J12" s="44"/>
      <c r="K12" s="44"/>
      <c r="L12" s="44"/>
      <c r="M12" s="44"/>
    </row>
    <row r="13" spans="1:13">
      <c r="A13" s="56"/>
      <c r="B13" s="59"/>
      <c r="C13" s="57"/>
      <c r="D13" s="57"/>
      <c r="E13" s="57"/>
      <c r="F13" s="57"/>
      <c r="G13" s="57"/>
      <c r="H13" s="57"/>
      <c r="I13" s="60"/>
      <c r="J13" s="57"/>
      <c r="K13" s="57"/>
      <c r="L13" s="57"/>
      <c r="M13" s="57"/>
    </row>
    <row r="14" spans="1:13">
      <c r="A14" s="56"/>
      <c r="B14" s="59"/>
      <c r="C14" s="57"/>
      <c r="D14" s="57"/>
      <c r="E14" s="57"/>
      <c r="F14" s="57"/>
      <c r="G14" s="57"/>
      <c r="H14" s="57"/>
      <c r="I14" s="60"/>
      <c r="J14" s="57"/>
      <c r="K14" s="57"/>
      <c r="L14" s="57"/>
      <c r="M14" s="57"/>
    </row>
    <row r="15" spans="1:13">
      <c r="A15" s="56"/>
      <c r="B15" s="59"/>
      <c r="C15" s="57"/>
      <c r="D15" s="57"/>
      <c r="E15" s="57"/>
      <c r="F15" s="57"/>
      <c r="G15" s="57"/>
      <c r="H15" s="57"/>
      <c r="I15" s="60"/>
      <c r="J15" s="57"/>
      <c r="K15" s="57"/>
      <c r="L15" s="57"/>
      <c r="M15" s="57"/>
    </row>
    <row r="16" spans="1:13">
      <c r="A16" s="56"/>
      <c r="B16" s="59"/>
      <c r="C16" s="57"/>
      <c r="D16" s="57"/>
      <c r="E16" s="57"/>
      <c r="F16" s="57"/>
      <c r="G16" s="57"/>
      <c r="H16" s="57"/>
      <c r="I16" s="60"/>
      <c r="J16" s="57"/>
      <c r="K16" s="57"/>
      <c r="L16" s="57"/>
      <c r="M16" s="57"/>
    </row>
    <row r="17" spans="1:13">
      <c r="A17" s="56"/>
      <c r="B17" s="59"/>
      <c r="C17" s="57"/>
      <c r="D17" s="57"/>
      <c r="E17" s="57"/>
      <c r="F17" s="57"/>
      <c r="G17" s="57"/>
      <c r="H17" s="57"/>
      <c r="I17" s="60"/>
      <c r="J17" s="57"/>
      <c r="K17" s="57"/>
      <c r="L17" s="57"/>
      <c r="M17" s="57"/>
    </row>
    <row r="18" spans="1:13">
      <c r="A18" s="61"/>
      <c r="B18" s="43"/>
      <c r="C18" s="44"/>
      <c r="D18" s="44"/>
      <c r="E18" s="44"/>
      <c r="F18" s="44"/>
      <c r="G18" s="44"/>
      <c r="H18" s="44"/>
      <c r="I18" s="58"/>
      <c r="J18" s="44"/>
      <c r="K18" s="44"/>
      <c r="L18" s="44"/>
      <c r="M18" s="44"/>
    </row>
    <row r="21" spans="1:13" ht="24.6">
      <c r="F21" s="46"/>
      <c r="G21" s="47" t="s">
        <v>30</v>
      </c>
      <c r="H21" s="48">
        <f>SUMIF(D2:D903,"مدفوع",I2:I903)-1100000</f>
        <v>39215.479999999981</v>
      </c>
    </row>
    <row r="22" spans="1:13" ht="24.6">
      <c r="E22" s="49"/>
      <c r="F22" s="46"/>
      <c r="G22" s="50" t="s">
        <v>31</v>
      </c>
      <c r="H22" s="51">
        <f>SUMIF(D2:D903,"مستقبلي",I2:I903)</f>
        <v>0</v>
      </c>
    </row>
    <row r="23" spans="1:13" ht="24.6">
      <c r="E23" s="49"/>
      <c r="F23" s="46"/>
      <c r="G23" s="52" t="s">
        <v>32</v>
      </c>
      <c r="H23" s="53">
        <f>SUMIF(D2:D903,"مدفوع",I2:I903)</f>
        <v>1139215.48</v>
      </c>
    </row>
    <row r="24" spans="1:13">
      <c r="E24" s="49"/>
    </row>
    <row r="25" spans="1:13">
      <c r="E25" s="49"/>
    </row>
    <row r="27" spans="1:13">
      <c r="E27" s="54"/>
      <c r="H27" s="55"/>
    </row>
  </sheetData>
  <mergeCells count="1">
    <mergeCell ref="A2:M2"/>
  </mergeCells>
  <dataValidations count="1">
    <dataValidation type="list" allowBlank="1" showInputMessage="1" showErrorMessage="1" sqref="D5:D18" xr:uid="{00000000-0002-0000-0000-000000000000}">
      <formula1>$D$5:$D$18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L30"/>
  <sheetViews>
    <sheetView rightToLeft="1" topLeftCell="C1" workbookViewId="0">
      <selection activeCell="J17" sqref="J17"/>
    </sheetView>
  </sheetViews>
  <sheetFormatPr defaultColWidth="22.88671875" defaultRowHeight="19.2"/>
  <cols>
    <col min="1" max="1" width="26.21875" style="2" bestFit="1" customWidth="1"/>
    <col min="2" max="2" width="19" style="3" customWidth="1"/>
    <col min="3" max="3" width="15" style="3" bestFit="1" customWidth="1"/>
    <col min="4" max="4" width="14.5546875" style="3" bestFit="1" customWidth="1"/>
    <col min="5" max="5" width="14.77734375" style="3" customWidth="1"/>
    <col min="6" max="6" width="28.109375" style="3" bestFit="1" customWidth="1"/>
    <col min="7" max="7" width="17.21875" style="3" bestFit="1" customWidth="1"/>
    <col min="8" max="8" width="13.6640625" style="3" customWidth="1"/>
    <col min="9" max="9" width="16.5546875" style="3" bestFit="1" customWidth="1"/>
    <col min="10" max="10" width="17.77734375" style="3" bestFit="1" customWidth="1"/>
    <col min="11" max="11" width="6.21875" style="3" customWidth="1"/>
    <col min="12" max="12" width="11.33203125" style="3" bestFit="1" customWidth="1"/>
    <col min="13" max="16384" width="22.88671875" style="3"/>
  </cols>
  <sheetData>
    <row r="3" spans="1:12" ht="38.4">
      <c r="A3" s="4" t="s">
        <v>50</v>
      </c>
      <c r="B3" s="5"/>
      <c r="C3" s="5"/>
      <c r="D3" s="5"/>
      <c r="E3" s="5"/>
      <c r="F3" s="5"/>
      <c r="G3" s="5"/>
      <c r="H3" s="5"/>
    </row>
    <row r="5" spans="1:12" s="1" customFormat="1" ht="38.4">
      <c r="A5" s="6" t="s">
        <v>1</v>
      </c>
      <c r="B5" s="7" t="s">
        <v>33</v>
      </c>
      <c r="C5" s="7" t="s">
        <v>34</v>
      </c>
      <c r="D5" s="8" t="s">
        <v>35</v>
      </c>
      <c r="E5" s="8" t="s">
        <v>36</v>
      </c>
      <c r="F5" s="8" t="s">
        <v>37</v>
      </c>
      <c r="G5" s="7" t="s">
        <v>9</v>
      </c>
      <c r="H5" s="9" t="s">
        <v>7</v>
      </c>
      <c r="I5" s="7" t="s">
        <v>38</v>
      </c>
    </row>
    <row r="6" spans="1:12">
      <c r="A6" s="10">
        <v>46042</v>
      </c>
      <c r="B6" s="11" t="s">
        <v>39</v>
      </c>
      <c r="C6" s="11" t="s">
        <v>39</v>
      </c>
      <c r="D6" s="11" t="s">
        <v>39</v>
      </c>
      <c r="E6" s="11">
        <v>289.75</v>
      </c>
      <c r="F6" s="11"/>
      <c r="G6" s="28">
        <f>Table83[[#This Row],[سعر المتر]]*Table83[[#This Row],[الكمية]]</f>
        <v>0</v>
      </c>
      <c r="H6" s="12"/>
      <c r="J6" s="3" t="s">
        <v>40</v>
      </c>
      <c r="K6" s="13"/>
    </row>
    <row r="7" spans="1:12">
      <c r="A7" s="25">
        <v>46042</v>
      </c>
      <c r="B7" s="29" t="s">
        <v>41</v>
      </c>
      <c r="C7" s="29"/>
      <c r="D7" s="13" t="s">
        <v>40</v>
      </c>
      <c r="E7" s="26">
        <v>289.75</v>
      </c>
      <c r="F7" s="26"/>
      <c r="G7" s="30">
        <f>Table83[[#This Row],[سعر المتر]]*Table83[[#This Row],[الكمية]]</f>
        <v>0</v>
      </c>
      <c r="H7" s="27"/>
      <c r="J7" s="3" t="s">
        <v>42</v>
      </c>
      <c r="K7" s="16"/>
    </row>
    <row r="8" spans="1:12">
      <c r="A8" s="25">
        <v>46054</v>
      </c>
      <c r="B8" s="29" t="s">
        <v>43</v>
      </c>
      <c r="C8" s="29"/>
      <c r="D8" s="13" t="s">
        <v>40</v>
      </c>
      <c r="E8" s="26">
        <v>289.75</v>
      </c>
      <c r="F8" s="26"/>
      <c r="G8" s="30">
        <f>Table83[[#This Row],[سعر المتر]]*Table83[[#This Row],[الكمية]]</f>
        <v>0</v>
      </c>
      <c r="H8" s="27"/>
    </row>
    <row r="9" spans="1:12">
      <c r="A9" s="10">
        <v>46055</v>
      </c>
      <c r="B9" s="11" t="s">
        <v>39</v>
      </c>
      <c r="C9" s="11"/>
      <c r="D9" s="11" t="s">
        <v>39</v>
      </c>
      <c r="E9" s="11">
        <v>289.75</v>
      </c>
      <c r="F9" s="11"/>
      <c r="G9" s="28">
        <f>Table83[[#This Row],[سعر المتر]]*Table83[[#This Row],[الكمية]]</f>
        <v>0</v>
      </c>
      <c r="H9" s="12"/>
    </row>
    <row r="10" spans="1:12" ht="38.4">
      <c r="A10" s="25">
        <v>46055</v>
      </c>
      <c r="B10" s="29" t="s">
        <v>44</v>
      </c>
      <c r="C10" s="29"/>
      <c r="D10" s="13" t="s">
        <v>40</v>
      </c>
      <c r="E10" s="26">
        <v>289.75</v>
      </c>
      <c r="F10" s="26"/>
      <c r="G10" s="30">
        <f>Table83[[#This Row],[سعر المتر]]*Table83[[#This Row],[الكمية]]</f>
        <v>0</v>
      </c>
      <c r="H10" s="27"/>
    </row>
    <row r="11" spans="1:12">
      <c r="A11" s="17"/>
      <c r="B11" s="11"/>
      <c r="C11" s="18"/>
      <c r="D11" s="15"/>
      <c r="E11" s="18"/>
      <c r="F11" s="15"/>
      <c r="G11" s="31">
        <f>Table83[[#This Row],[سعر المتر]]*Table83[[#This Row],[الكمية]]</f>
        <v>0</v>
      </c>
      <c r="H11" s="20"/>
    </row>
    <row r="12" spans="1:12">
      <c r="A12" s="17"/>
      <c r="B12" s="14"/>
      <c r="C12" s="32"/>
      <c r="D12" s="15"/>
      <c r="E12" s="18"/>
      <c r="F12" s="15"/>
      <c r="G12" s="31">
        <f>Table83[[#This Row],[سعر المتر]]*Table83[[#This Row],[الكمية]]</f>
        <v>0</v>
      </c>
      <c r="H12" s="20"/>
    </row>
    <row r="13" spans="1:12">
      <c r="A13" s="21"/>
      <c r="B13" s="18"/>
      <c r="C13" s="18"/>
      <c r="D13" s="19"/>
      <c r="E13" s="19"/>
      <c r="F13" s="19"/>
      <c r="G13" s="33">
        <f>Table83[[#This Row],[سعر المتر]]*Table83[[#This Row],[الكمية]]</f>
        <v>0</v>
      </c>
      <c r="H13" s="22"/>
    </row>
    <row r="14" spans="1:12">
      <c r="J14" s="63"/>
      <c r="K14" s="63"/>
      <c r="L14" s="63"/>
    </row>
    <row r="15" spans="1:12">
      <c r="F15" s="23" t="s">
        <v>45</v>
      </c>
      <c r="G15" s="24">
        <f>SUM(G6:G13)</f>
        <v>0</v>
      </c>
    </row>
    <row r="17" spans="6:12">
      <c r="F17" s="23" t="s">
        <v>46</v>
      </c>
      <c r="G17" s="24">
        <f>G15/J25</f>
        <v>0</v>
      </c>
    </row>
    <row r="19" spans="6:12">
      <c r="J19" s="63"/>
      <c r="K19" s="63"/>
      <c r="L19" s="63"/>
    </row>
    <row r="23" spans="6:12">
      <c r="J23" s="64" t="s">
        <v>47</v>
      </c>
      <c r="K23" s="64"/>
      <c r="L23" s="64"/>
    </row>
    <row r="24" spans="6:12">
      <c r="J24" s="15" t="s">
        <v>48</v>
      </c>
      <c r="K24" s="15" t="s">
        <v>37</v>
      </c>
      <c r="L24" s="15" t="s">
        <v>9</v>
      </c>
    </row>
    <row r="25" spans="6:12">
      <c r="J25" s="15">
        <v>289.75</v>
      </c>
      <c r="K25" s="15">
        <v>1</v>
      </c>
      <c r="L25" s="34">
        <f>J25*K25</f>
        <v>289.75</v>
      </c>
    </row>
    <row r="28" spans="6:12">
      <c r="J28" s="65" t="s">
        <v>49</v>
      </c>
      <c r="K28" s="65"/>
      <c r="L28" s="65"/>
    </row>
    <row r="29" spans="6:12">
      <c r="J29" s="15" t="s">
        <v>48</v>
      </c>
      <c r="K29" s="15" t="s">
        <v>37</v>
      </c>
      <c r="L29" s="15" t="s">
        <v>9</v>
      </c>
    </row>
    <row r="30" spans="6:12">
      <c r="J30" s="15">
        <v>5.75</v>
      </c>
      <c r="K30" s="15">
        <v>1</v>
      </c>
      <c r="L30" s="15">
        <f>J30*K30</f>
        <v>5.75</v>
      </c>
    </row>
  </sheetData>
  <mergeCells count="4">
    <mergeCell ref="J14:L14"/>
    <mergeCell ref="J19:L19"/>
    <mergeCell ref="J23:L23"/>
    <mergeCell ref="J28:L28"/>
  </mergeCell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المصروفات</vt:lpstr>
      <vt:lpstr>خرسانة المرهون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2026-06-28T12:18:34Z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6D1B571DE75945CEB2359E2482FAC028_13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